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ls" sheetId="1" r:id="rId4"/>
    <sheet state="visible" name="NetScores" sheetId="2" r:id="rId5"/>
    <sheet state="visible" name="Points" sheetId="3" r:id="rId6"/>
    <sheet state="visible" name="Strokes" sheetId="4" r:id="rId7"/>
    <sheet state="hidden" name="Golf League Availablity" sheetId="5" r:id="rId8"/>
    <sheet state="hidden" name="CGI Finale Teams" sheetId="6" r:id="rId9"/>
    <sheet state="hidden" name="Ram Rock" sheetId="7" r:id="rId10"/>
    <sheet state="visible" name="WeeklyRankMoney" sheetId="8" r:id="rId11"/>
    <sheet state="visible" name="MoneyStandings" sheetId="9" r:id="rId12"/>
    <sheet state="hidden" name="Points Standings" sheetId="10" r:id="rId13"/>
    <sheet state="visible" name="ModifiedAvg" sheetId="11" r:id="rId14"/>
    <sheet state="visible" name="WeeklyRankPoints" sheetId="12" r:id="rId15"/>
    <sheet state="visible" name="NetScoreForPoints" sheetId="13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messed up payout in week 2. set 110 in players initially. paid out breakdown for more than 12 players.
</t>
      </text>
    </comment>
  </commentList>
</comments>
</file>

<file path=xl/sharedStrings.xml><?xml version="1.0" encoding="utf-8"?>
<sst xmlns="http://schemas.openxmlformats.org/spreadsheetml/2006/main" count="742" uniqueCount="237">
  <si>
    <t>2026 Actuals</t>
  </si>
  <si>
    <t>Guest = 1</t>
  </si>
  <si>
    <t>Player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</si>
  <si>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</si>
  <si>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</si>
  <si>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</si>
  <si>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</si>
  <si>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</si>
  <si>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</si>
  <si>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</si>
  <si>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</si>
  <si>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</si>
  <si>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</si>
  <si>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</si>
  <si>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</si>
  <si>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</si>
  <si>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</si>
  <si>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</si>
  <si>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</si>
  <si>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Events Played</t>
  </si>
  <si>
    <t>Total Strokes</t>
  </si>
  <si>
    <t>Avg Score</t>
  </si>
  <si>
    <t>James D</t>
  </si>
  <si>
    <t>Simon Sr</t>
  </si>
  <si>
    <t>Francisco</t>
  </si>
  <si>
    <t>Cam King</t>
  </si>
  <si>
    <t>Dan K</t>
  </si>
  <si>
    <t>League Avg</t>
  </si>
  <si>
    <t>Players</t>
  </si>
  <si>
    <t>Audit</t>
  </si>
  <si>
    <t>2026 Weekly Net Score</t>
  </si>
  <si>
    <t>Low Net</t>
  </si>
  <si>
    <t>2026 Points</t>
  </si>
  <si>
    <t>Place Power</t>
  </si>
  <si>
    <t>Masters</t>
  </si>
  <si>
    <t>Total</t>
  </si>
  <si>
    <t>Rank</t>
  </si>
  <si>
    <t>Events</t>
  </si>
  <si>
    <t>P/E</t>
  </si>
  <si>
    <t>Wins</t>
  </si>
  <si>
    <t>Top 3's</t>
  </si>
  <si>
    <t>Top 5's</t>
  </si>
  <si>
    <t>Strokes 2024</t>
  </si>
  <si>
    <t>Place</t>
  </si>
  <si>
    <t>Points</t>
  </si>
  <si>
    <t>Strokes for Given Week</t>
  </si>
  <si>
    <t>PAR</t>
  </si>
  <si>
    <t>Final</t>
  </si>
  <si>
    <t>Simon R</t>
  </si>
  <si>
    <t>IN</t>
  </si>
  <si>
    <t>Ryan R</t>
  </si>
  <si>
    <t>Seth A</t>
  </si>
  <si>
    <t>Scott M</t>
  </si>
  <si>
    <t>Brian M</t>
  </si>
  <si>
    <t>Jordan V</t>
  </si>
  <si>
    <t>Preston C</t>
  </si>
  <si>
    <t>Russ B</t>
  </si>
  <si>
    <t>Walt S</t>
  </si>
  <si>
    <t>Tom B</t>
  </si>
  <si>
    <t>Jon L</t>
  </si>
  <si>
    <t>Eddie</t>
  </si>
  <si>
    <t>Nate R</t>
  </si>
  <si>
    <t>Jonah R</t>
  </si>
  <si>
    <t>Josh Norris</t>
  </si>
  <si>
    <t>Mark M</t>
  </si>
  <si>
    <t>Martin R</t>
  </si>
  <si>
    <t>Team Walt</t>
  </si>
  <si>
    <t>Strokes</t>
  </si>
  <si>
    <t>Tees</t>
  </si>
  <si>
    <t>Team Ryan</t>
  </si>
  <si>
    <t>House Link</t>
  </si>
  <si>
    <t>House Address</t>
  </si>
  <si>
    <t>Jordan</t>
  </si>
  <si>
    <t>Back</t>
  </si>
  <si>
    <t>Ryan</t>
  </si>
  <si>
    <t>https://www.vrbo.com/2631893?dateless=true</t>
  </si>
  <si>
    <t>5204 River Oaks Dr Kingsland, TX 78639</t>
  </si>
  <si>
    <t>Walt</t>
  </si>
  <si>
    <t>Preston</t>
  </si>
  <si>
    <t>Middle</t>
  </si>
  <si>
    <t>https://www.vrbo.com/3898781?dateless=true</t>
  </si>
  <si>
    <t>5212 River Oaks Dr Kingsland, TX 78639</t>
  </si>
  <si>
    <t>Simon</t>
  </si>
  <si>
    <t>Tom</t>
  </si>
  <si>
    <t>Scott</t>
  </si>
  <si>
    <t>Seth</t>
  </si>
  <si>
    <t>Brian</t>
  </si>
  <si>
    <t>Russ</t>
  </si>
  <si>
    <t>Jon</t>
  </si>
  <si>
    <t>Martin</t>
  </si>
  <si>
    <t>Mark</t>
  </si>
  <si>
    <t>Front</t>
  </si>
  <si>
    <t>James</t>
  </si>
  <si>
    <t>Jonah</t>
  </si>
  <si>
    <t>Dan</t>
  </si>
  <si>
    <t>Cam</t>
  </si>
  <si>
    <t>Nate</t>
  </si>
  <si>
    <t>Josh</t>
  </si>
  <si>
    <t>Day</t>
  </si>
  <si>
    <t>Course</t>
  </si>
  <si>
    <t>Tee Times</t>
  </si>
  <si>
    <t>Format</t>
  </si>
  <si>
    <t>Friday</t>
  </si>
  <si>
    <t>Ram Rock</t>
  </si>
  <si>
    <t>10:25 - 11:05</t>
  </si>
  <si>
    <t>2 Man Best Ball</t>
  </si>
  <si>
    <t>Saturday</t>
  </si>
  <si>
    <t>Light House</t>
  </si>
  <si>
    <t>9:27 - 10:03</t>
  </si>
  <si>
    <t>9 Hole Singles</t>
  </si>
  <si>
    <t>Sunday</t>
  </si>
  <si>
    <t>Legends</t>
  </si>
  <si>
    <t>10:30 - 11:06</t>
  </si>
  <si>
    <t>2 Man Scramble</t>
  </si>
  <si>
    <t>Walt Player 1</t>
  </si>
  <si>
    <t>Walt Player 2</t>
  </si>
  <si>
    <t>Ryan Player 1</t>
  </si>
  <si>
    <t>Ryan Player 2</t>
  </si>
  <si>
    <t>Match 1</t>
  </si>
  <si>
    <t>Walt (2)</t>
  </si>
  <si>
    <t>Eddie (10)</t>
  </si>
  <si>
    <t>Ryan (+1)</t>
  </si>
  <si>
    <t>Preston (5)</t>
  </si>
  <si>
    <t>best ball</t>
  </si>
  <si>
    <t>Match 2</t>
  </si>
  <si>
    <t>Jordan (1)</t>
  </si>
  <si>
    <t>Scott (6)</t>
  </si>
  <si>
    <t>Tom (7)</t>
  </si>
  <si>
    <t>Seth (7)</t>
  </si>
  <si>
    <t>Match 3</t>
  </si>
  <si>
    <t>Simon (4)</t>
  </si>
  <si>
    <t>Brian (8)</t>
  </si>
  <si>
    <t>Russ (9)</t>
  </si>
  <si>
    <t>Jon (13)</t>
  </si>
  <si>
    <t>Match 4</t>
  </si>
  <si>
    <t>Martin (16)</t>
  </si>
  <si>
    <t>James (17)</t>
  </si>
  <si>
    <t>MMM(16)</t>
  </si>
  <si>
    <t>Cam (19)</t>
  </si>
  <si>
    <t>scramble</t>
  </si>
  <si>
    <t>Match 5</t>
  </si>
  <si>
    <t>Nate (32)</t>
  </si>
  <si>
    <t>Dan (24)</t>
  </si>
  <si>
    <t>Jonah (17)</t>
  </si>
  <si>
    <t>Josh (34)</t>
  </si>
  <si>
    <t>MMM (16)</t>
  </si>
  <si>
    <t>Jon(13)</t>
  </si>
  <si>
    <t>Team</t>
  </si>
  <si>
    <t>name</t>
  </si>
  <si>
    <t>name strokes</t>
  </si>
  <si>
    <t>strokes</t>
  </si>
  <si>
    <t>tee</t>
  </si>
  <si>
    <t>Par</t>
  </si>
  <si>
    <t>Handicap</t>
  </si>
  <si>
    <t>Group</t>
  </si>
  <si>
    <t>1 POINT</t>
  </si>
  <si>
    <t>2 POINTS</t>
  </si>
  <si>
    <t>3 POINTS</t>
  </si>
  <si>
    <t>Eff Str</t>
  </si>
  <si>
    <t>BB Net</t>
  </si>
  <si>
    <t>Match</t>
  </si>
  <si>
    <t>BLUE</t>
  </si>
  <si>
    <t>WHITE</t>
  </si>
  <si>
    <t>MMM</t>
  </si>
  <si>
    <t>JV</t>
  </si>
  <si>
    <t>Bmac</t>
  </si>
  <si>
    <t>Tom 3</t>
  </si>
  <si>
    <t>JV 3</t>
  </si>
  <si>
    <t>Simon 2</t>
  </si>
  <si>
    <t>Ryan 1</t>
  </si>
  <si>
    <t>Bmac 1</t>
  </si>
  <si>
    <t>Seth 2</t>
  </si>
  <si>
    <t>Russ 3</t>
  </si>
  <si>
    <t>2026 Weekly Rank For Money - guests included</t>
  </si>
  <si>
    <t>Week</t>
  </si>
  <si>
    <t>Pot</t>
  </si>
  <si>
    <t>1st</t>
  </si>
  <si>
    <t>2nd</t>
  </si>
  <si>
    <t>3rd</t>
  </si>
  <si>
    <t>4th</t>
  </si>
  <si>
    <t>CTP Money</t>
  </si>
  <si>
    <t>PAR 3s</t>
  </si>
  <si>
    <t>1 to 7</t>
  </si>
  <si>
    <t>8 to 11</t>
  </si>
  <si>
    <t>12 or more</t>
  </si>
  <si>
    <t>Values are rounded to $5 increments starting with 1st place</t>
  </si>
  <si>
    <r>
      <rPr>
        <rFont val="Calibri"/>
        <b/>
        <sz val="11.0"/>
      </rPr>
      <t xml:space="preserve">Money Standings - </t>
    </r>
    <r>
      <rPr>
        <rFont val="Calibri"/>
        <b/>
        <color rgb="FFFF0000"/>
        <sz val="11.0"/>
      </rPr>
      <t>Fill Winnings in Manually</t>
    </r>
  </si>
  <si>
    <t>I got to work on this page still</t>
  </si>
  <si>
    <t>RANK</t>
  </si>
  <si>
    <t>(-) 1st</t>
  </si>
  <si>
    <t>(+/-) 8th</t>
  </si>
  <si>
    <r>
      <rPr>
        <rFont val="Calibri, sans-serif"/>
        <b/>
        <color rgb="FF000000"/>
        <sz val="18.0"/>
      </rPr>
      <t xml:space="preserve">Modified Average for Calculating Strokes - </t>
    </r>
    <r>
      <rPr>
        <rFont val="Calibri, sans-serif"/>
        <b/>
        <color rgb="FFFF0000"/>
        <sz val="18.0"/>
      </rPr>
      <t>Just set Week 1</t>
    </r>
  </si>
  <si>
    <t>Adrian C</t>
  </si>
  <si>
    <t>Alan D</t>
  </si>
  <si>
    <t>Baxter C</t>
  </si>
  <si>
    <t>Bill Morton</t>
  </si>
  <si>
    <t>Bruce Marburger</t>
  </si>
  <si>
    <t>Cole L</t>
  </si>
  <si>
    <t>Danny C</t>
  </si>
  <si>
    <t>Eddie G</t>
  </si>
  <si>
    <t>Grant G</t>
  </si>
  <si>
    <t>Jeff H</t>
  </si>
  <si>
    <t>Jenna T</t>
  </si>
  <si>
    <t>Jeremy H</t>
  </si>
  <si>
    <t>Jeremy S</t>
  </si>
  <si>
    <t>Kyle N</t>
  </si>
  <si>
    <t>Laura L</t>
  </si>
  <si>
    <t>Luke W</t>
  </si>
  <si>
    <t>Marc C</t>
  </si>
  <si>
    <t>Minji S</t>
  </si>
  <si>
    <t>Phil J</t>
  </si>
  <si>
    <t>Rich</t>
  </si>
  <si>
    <t>Russ H</t>
  </si>
  <si>
    <t>Steve S</t>
  </si>
  <si>
    <t>Tanner Brown</t>
  </si>
  <si>
    <t>Tanner Buechele</t>
  </si>
  <si>
    <t>Thomas Y</t>
  </si>
  <si>
    <t>Tommy</t>
  </si>
  <si>
    <t>Davis</t>
  </si>
  <si>
    <t>Amanda C</t>
  </si>
  <si>
    <t>blank9</t>
  </si>
  <si>
    <t>blank10</t>
  </si>
  <si>
    <t>blank11</t>
  </si>
  <si>
    <t>blank12</t>
  </si>
  <si>
    <t>blank13</t>
  </si>
  <si>
    <t>blank14</t>
  </si>
  <si>
    <t>blank15</t>
  </si>
  <si>
    <t>blank16</t>
  </si>
  <si>
    <t>blank17</t>
  </si>
  <si>
    <t>blank18</t>
  </si>
  <si>
    <t>blank19</t>
  </si>
  <si>
    <t>blank20</t>
  </si>
  <si>
    <t>blank21</t>
  </si>
  <si>
    <t>2026 Weekly Rank</t>
  </si>
  <si>
    <t>2026 Weekly Net Score for Points - No Visitors</t>
  </si>
  <si>
    <t>Week 17</t>
  </si>
  <si>
    <t>Week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</si>
</sst>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m&quot;/&quot;d"/>
    <numFmt numFmtId="166" formatCode="d-mmm"/>
    <numFmt numFmtId="167" formatCode="d-mmmm"/>
    <numFmt numFmtId="168" formatCode="&quot;$&quot;#,##0"/>
    <numFmt numFmtId="169" formatCode="&quot;$&quot;#,##0.00"/>
  </numFmts>
  <fonts count="18">
    <font>
      <sz val="10.0"/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  <font>
      <b/>
      <sz val="18.0"/>
      <color rgb="FF000000"/>
      <name val="Calibri"/>
    </font>
    <font>
      <b/>
      <sz val="9.0"/>
      <color rgb="FF000000"/>
      <name val="Calibri"/>
    </font>
    <font/>
    <font>
      <sz val="9.0"/>
      <color rgb="FF000000"/>
      <name val="Calibri"/>
    </font>
    <font>
      <b/>
    </font>
    <font>
      <name val="Arial"/>
    </font>
    <font>
      <u/>
      <color rgb="FF0000FF"/>
    </font>
    <font>
      <b/>
      <sz val="12.0"/>
    </font>
    <font>
      <color rgb="FFCCCCCC"/>
    </font>
    <font>
      <sz val="11.0"/>
      <name val="Calibri"/>
    </font>
    <font>
      <b/>
      <sz val="11.0"/>
      <name val="Calibri"/>
    </font>
    <font>
      <b/>
      <name val="Arial"/>
    </font>
    <font>
      <sz val="11.0"/>
      <color rgb="FFFF0000"/>
      <name val="Calibri"/>
    </font>
    <font>
      <i/>
      <sz val="11.0"/>
      <name val="Calibri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C6EFCE"/>
        <bgColor rgb="FFC6EFC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2" fontId="2" numFmtId="0" xfId="0" applyAlignment="1" applyFont="1">
      <alignment horizontal="left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2" fontId="1" numFmtId="2" xfId="0" applyAlignment="1" applyFont="1" applyNumberFormat="1">
      <alignment horizontal="center" shrinkToFit="0" vertical="bottom" wrapText="0"/>
    </xf>
    <xf borderId="0" fillId="2" fontId="2" numFmtId="0" xfId="0" applyAlignment="1" applyFont="1">
      <alignment horizontal="left" shrinkToFit="0" vertical="bottom" wrapText="0"/>
    </xf>
    <xf borderId="0" fillId="2" fontId="4" numFmtId="0" xfId="0" applyAlignment="1" applyFont="1">
      <alignment horizontal="center" readingOrder="0" shrinkToFit="0" vertical="bottom" wrapText="0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 shrinkToFit="0" vertical="bottom" wrapText="0"/>
    </xf>
    <xf borderId="0" fillId="2" fontId="2" numFmtId="2" xfId="0" applyAlignment="1" applyFont="1" applyNumberForma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2" fontId="1" numFmtId="0" xfId="0" applyAlignment="1" applyFont="1">
      <alignment horizontal="center" readingOrder="0" vertical="bottom"/>
    </xf>
    <xf borderId="0" fillId="2" fontId="1" numFmtId="2" xfId="0" applyAlignment="1" applyFont="1" applyNumberFormat="1">
      <alignment horizontal="center"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horizontal="center" readingOrder="0" shrinkToFit="0" vertical="bottom" wrapText="0"/>
    </xf>
    <xf borderId="0" fillId="0" fontId="1" numFmtId="9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/>
    </xf>
    <xf borderId="0" fillId="0" fontId="1" numFmtId="1" xfId="0" applyAlignment="1" applyFont="1" applyNumberFormat="1">
      <alignment horizontal="center" readingOrder="0" shrinkToFit="0" vertical="bottom" wrapText="0"/>
    </xf>
    <xf borderId="0" fillId="2" fontId="6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horizontal="right" readingOrder="0" shrinkToFit="0" vertical="bottom" wrapText="0"/>
    </xf>
    <xf borderId="0" fillId="0" fontId="1" numFmtId="168" xfId="0" applyAlignment="1" applyFont="1" applyNumberFormat="1">
      <alignment horizontal="center" shrinkToFit="0" vertical="bottom" wrapText="0"/>
    </xf>
    <xf borderId="0" fillId="0" fontId="2" numFmtId="168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horizontal="center" readingOrder="0"/>
    </xf>
    <xf borderId="0" fillId="3" fontId="5" numFmtId="0" xfId="0" applyAlignment="1" applyFill="1" applyFont="1">
      <alignment readingOrder="0"/>
    </xf>
    <xf borderId="0" fillId="2" fontId="7" numFmtId="0" xfId="0" applyAlignment="1" applyFont="1">
      <alignment readingOrder="0"/>
    </xf>
    <xf borderId="1" fillId="0" fontId="8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1" fillId="4" fontId="5" numFmtId="0" xfId="0" applyAlignment="1" applyBorder="1" applyFill="1" applyFont="1">
      <alignment readingOrder="0"/>
    </xf>
    <xf borderId="1" fillId="3" fontId="11" numFmtId="0" xfId="0" applyAlignment="1" applyBorder="1" applyFont="1">
      <alignment readingOrder="0"/>
    </xf>
    <xf borderId="0" fillId="4" fontId="5" numFmtId="0" xfId="0" applyAlignment="1" applyFont="1">
      <alignment readingOrder="0"/>
    </xf>
    <xf borderId="0" fillId="3" fontId="11" numFmtId="0" xfId="0" applyAlignment="1" applyFont="1">
      <alignment readingOrder="0"/>
    </xf>
    <xf borderId="0" fillId="0" fontId="5" numFmtId="20" xfId="0" applyAlignment="1" applyFont="1" applyNumberFormat="1">
      <alignment horizontal="center" readingOrder="0"/>
    </xf>
    <xf borderId="0" fillId="0" fontId="11" numFmtId="0" xfId="0" applyFont="1"/>
    <xf borderId="0" fillId="0" fontId="8" numFmtId="0" xfId="0" applyAlignment="1" applyFont="1">
      <alignment vertical="bottom"/>
    </xf>
    <xf borderId="0" fillId="5" fontId="8" numFmtId="0" xfId="0" applyAlignment="1" applyFill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2" fillId="0" fontId="13" numFmtId="0" xfId="0" applyAlignment="1" applyBorder="1" applyFont="1">
      <alignment horizontal="center" vertical="bottom"/>
    </xf>
    <xf borderId="2" fillId="2" fontId="14" numFmtId="0" xfId="0" applyAlignment="1" applyBorder="1" applyFont="1">
      <alignment horizontal="center" vertical="bottom"/>
    </xf>
    <xf borderId="2" fillId="0" fontId="13" numFmtId="0" xfId="0" applyAlignment="1" applyBorder="1" applyFont="1">
      <alignment horizontal="center" readingOrder="0" vertical="bottom"/>
    </xf>
    <xf borderId="3" fillId="0" fontId="12" numFmtId="0" xfId="0" applyAlignment="1" applyBorder="1" applyFont="1">
      <alignment horizontal="right" vertical="bottom"/>
    </xf>
    <xf borderId="4" fillId="0" fontId="12" numFmtId="0" xfId="0" applyAlignment="1" applyBorder="1" applyFont="1">
      <alignment readingOrder="0" vertical="bottom"/>
    </xf>
    <xf borderId="4" fillId="0" fontId="12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vertical="bottom"/>
    </xf>
    <xf borderId="4" fillId="3" fontId="12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right" vertical="bottom"/>
    </xf>
    <xf borderId="1" fillId="0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readingOrder="0" vertical="bottom"/>
    </xf>
    <xf borderId="1" fillId="0" fontId="13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right" vertical="bottom"/>
    </xf>
    <xf borderId="4" fillId="0" fontId="13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2" fontId="5" numFmtId="0" xfId="0" applyFont="1"/>
    <xf borderId="0" fillId="2" fontId="5" numFmtId="0" xfId="0" applyAlignment="1" applyFont="1">
      <alignment readingOrder="0"/>
    </xf>
    <xf borderId="0" fillId="2" fontId="11" numFmtId="0" xfId="0" applyAlignment="1" applyFont="1">
      <alignment readingOrder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left"/>
    </xf>
    <xf borderId="0" fillId="0" fontId="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/>
    </xf>
    <xf borderId="0" fillId="0" fontId="12" numFmtId="0" xfId="0" applyFont="1"/>
    <xf borderId="0" fillId="0" fontId="15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bottom" wrapText="0"/>
    </xf>
    <xf borderId="0" fillId="0" fontId="15" numFmtId="169" xfId="0" applyAlignment="1" applyFont="1" applyNumberFormat="1">
      <alignment horizontal="center" readingOrder="0"/>
    </xf>
    <xf borderId="0" fillId="0" fontId="12" numFmtId="168" xfId="0" applyAlignment="1" applyFont="1" applyNumberFormat="1">
      <alignment horizontal="center"/>
    </xf>
    <xf borderId="1" fillId="0" fontId="12" numFmtId="0" xfId="0" applyAlignment="1" applyBorder="1" applyFont="1">
      <alignment readingOrder="0"/>
    </xf>
    <xf borderId="1" fillId="0" fontId="12" numFmtId="10" xfId="0" applyAlignment="1" applyBorder="1" applyFont="1" applyNumberFormat="1">
      <alignment horizontal="center" readingOrder="0"/>
    </xf>
    <xf borderId="1" fillId="0" fontId="12" numFmtId="169" xfId="0" applyAlignment="1" applyBorder="1" applyFont="1" applyNumberFormat="1">
      <alignment readingOrder="0"/>
    </xf>
    <xf borderId="0" fillId="0" fontId="16" numFmtId="0" xfId="0" applyAlignment="1" applyFont="1">
      <alignment readingOrder="0"/>
    </xf>
    <xf borderId="0" fillId="0" fontId="13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/>
    </xf>
    <xf borderId="0" fillId="0" fontId="1" numFmtId="169" xfId="0" applyAlignment="1" applyFont="1" applyNumberFormat="1">
      <alignment horizontal="center" readingOrder="0" shrinkToFit="0" vertical="bottom" wrapText="0"/>
    </xf>
    <xf borderId="0" fillId="0" fontId="13" numFmtId="169" xfId="0" applyAlignment="1" applyFont="1" applyNumberFormat="1">
      <alignment horizontal="center"/>
    </xf>
    <xf borderId="0" fillId="0" fontId="1" numFmtId="169" xfId="0" applyAlignment="1" applyFont="1" applyNumberFormat="1">
      <alignment horizontal="center" shrinkToFit="0" vertical="bottom" wrapText="0"/>
    </xf>
    <xf borderId="0" fillId="0" fontId="13" numFmtId="0" xfId="0" applyAlignment="1" applyFont="1">
      <alignment horizontal="center"/>
    </xf>
    <xf borderId="0" fillId="0" fontId="2" numFmtId="1" xfId="0" applyAlignment="1" applyFont="1" applyNumberFormat="1">
      <alignment horizontal="center" readingOrder="0" shrinkToFit="0" vertical="bottom" wrapText="0"/>
    </xf>
    <xf borderId="0" fillId="0" fontId="7" numFmtId="0" xfId="0" applyAlignment="1" applyFont="1">
      <alignment readingOrder="0"/>
    </xf>
    <xf borderId="0" fillId="0" fontId="7" numFmtId="0" xfId="0" applyFont="1"/>
    <xf borderId="1" fillId="0" fontId="1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" xfId="0" applyAlignment="1" applyBorder="1" applyFont="1" applyNumberFormat="1">
      <alignment horizontal="center" readingOrder="0" shrinkToFit="0" vertical="bottom" wrapText="0"/>
    </xf>
    <xf borderId="1" fillId="6" fontId="12" numFmtId="0" xfId="0" applyAlignment="1" applyBorder="1" applyFill="1" applyFont="1">
      <alignment horizontal="center" readingOrder="0"/>
    </xf>
    <xf borderId="1" fillId="6" fontId="13" numFmtId="0" xfId="0" applyAlignment="1" applyBorder="1" applyFont="1">
      <alignment horizontal="center"/>
    </xf>
    <xf borderId="1" fillId="6" fontId="12" numFmtId="1" xfId="0" applyAlignment="1" applyBorder="1" applyFont="1" applyNumberFormat="1">
      <alignment horizontal="center"/>
    </xf>
    <xf borderId="1" fillId="6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/>
    </xf>
    <xf borderId="1" fillId="0" fontId="12" numFmtId="1" xfId="0" applyAlignment="1" applyBorder="1" applyFont="1" applyNumberFormat="1">
      <alignment horizontal="center"/>
    </xf>
    <xf borderId="0" fillId="0" fontId="5" numFmtId="1" xfId="0" applyAlignment="1" applyFont="1" applyNumberFormat="1">
      <alignment horizontal="center"/>
    </xf>
    <xf borderId="0" fillId="2" fontId="17" numFmtId="0" xfId="0" applyFont="1"/>
    <xf borderId="0" fillId="2" fontId="1" numFmtId="164" xfId="0" applyAlignment="1" applyFont="1" applyNumberFormat="1">
      <alignment horizontal="center" shrinkToFit="0" vertical="bottom" wrapText="0"/>
    </xf>
    <xf borderId="0" fillId="2" fontId="2" numFmtId="164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>
        <color rgb="FFFF0000"/>
      </font>
      <fill>
        <patternFill patternType="solid">
          <fgColor rgb="FF00FF00"/>
          <bgColor rgb="FF00FF00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9CB9C"/>
          <bgColor rgb="FFF9CB9C"/>
        </patternFill>
      </fill>
      <border/>
    </dxf>
    <dxf>
      <font>
        <color rgb="FF000000"/>
      </font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10">
    <tableStyle count="3" pivot="0" name="Actuals-style">
      <tableStyleElement dxfId="1" type="headerRow"/>
      <tableStyleElement dxfId="2" type="firstRowStripe"/>
      <tableStyleElement dxfId="3" type="secondRowStripe"/>
    </tableStyle>
    <tableStyle count="3" pivot="0" name="NetScores-style">
      <tableStyleElement dxfId="1" type="headerRow"/>
      <tableStyleElement dxfId="2" type="firstRowStripe"/>
      <tableStyleElement dxfId="3" type="secondRowStripe"/>
    </tableStyle>
    <tableStyle count="3" pivot="0" name="NetScores-style 2">
      <tableStyleElement dxfId="1" type="headerRow"/>
      <tableStyleElement dxfId="2" type="firstRowStripe"/>
      <tableStyleElement dxfId="3" type="secondRowStripe"/>
    </tableStyle>
    <tableStyle count="3" pivot="0" name="Strokes-style">
      <tableStyleElement dxfId="1" type="headerRow"/>
      <tableStyleElement dxfId="2" type="firstRowStripe"/>
      <tableStyleElement dxfId="3" type="secondRowStripe"/>
    </tableStyle>
    <tableStyle count="3" pivot="0" name="MoneyStandings-style">
      <tableStyleElement dxfId="1" type="headerRow"/>
      <tableStyleElement dxfId="2" type="firstRowStripe"/>
      <tableStyleElement dxfId="3" type="secondRowStripe"/>
    </tableStyle>
    <tableStyle count="3" pivot="0" name="MoneyStandings-style 2">
      <tableStyleElement dxfId="1" type="headerRow"/>
      <tableStyleElement dxfId="2" type="firstRowStripe"/>
      <tableStyleElement dxfId="3" type="secondRowStripe"/>
    </tableStyle>
    <tableStyle count="3" pivot="0" name="MoneyStandings-style 3">
      <tableStyleElement dxfId="1" type="headerRow"/>
      <tableStyleElement dxfId="2" type="firstRowStripe"/>
      <tableStyleElement dxfId="3" type="secondRowStripe"/>
    </tableStyle>
    <tableStyle count="3" pivot="0" name="ModifiedAvg-style">
      <tableStyleElement dxfId="1" type="headerRow"/>
      <tableStyleElement dxfId="2" type="firstRowStripe"/>
      <tableStyleElement dxfId="3" type="secondRowStripe"/>
    </tableStyle>
    <tableStyle count="3" pivot="0" name="NetScoreForPoints-style">
      <tableStyleElement dxfId="1" type="headerRow"/>
      <tableStyleElement dxfId="2" type="firstRowStripe"/>
      <tableStyleElement dxfId="3" type="secondRowStripe"/>
    </tableStyle>
    <tableStyle count="3" pivot="0" name="NetScoreForPoint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U65" displayName="Table_1" name="Table_1" id="1">
  <tableColumns count="21">
    <tableColumn name="Guest = 1" id="1"/>
    <tableColumn name="Player" id="2"/>
    <tableColumn name="Week 1" id="3"/>
    <tableColumn name="Week 2" id="4"/>
    <tableColumn name="Week 3" id="5"/>
    <tableColumn name="Week 4" id="6"/>
    <tableColumn name="Week 5" id="7"/>
    <tableColumn name="Week 6" id="8"/>
    <tableColumn name="Week 7" id="9"/>
    <tableColumn name="Week 8" id="10"/>
    <tableColumn name="Week 9" id="11"/>
    <tableColumn name="Week 10" id="12"/>
    <tableColumn name="Week 11" id="13"/>
    <tableColumn name="Week 12" id="14"/>
    <tableColumn name="Week 13" id="15"/>
    <tableColumn name="Week 14" id="16"/>
    <tableColumn name="Week 15" id="17"/>
    <tableColumn name="Week 16" id="18"/>
    <tableColumn name="Events Played" id="19"/>
    <tableColumn name="Total Strokes" id="20"/>
    <tableColumn name="Avg Score" id="21"/>
  </tableColumns>
  <tableStyleInfo name="Actuals-style" showColumnStripes="0" showFirstColumn="1" showLastColumn="1" showRowStripes="1"/>
</table>
</file>

<file path=xl/tables/table2.xml><?xml version="1.0" encoding="utf-8"?>
<table xmlns="http://schemas.openxmlformats.org/spreadsheetml/2006/main" headerRowCount="0" ref="A1" displayName="Table_2" name="Table_2" id="2">
  <tableColumns count="1">
    <tableColumn name="Column1" id="1"/>
  </tableColumns>
  <tableStyleInfo name="NetScor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3:Q74" displayName="Table_3" name="Table_3" id="3">
  <tableColumns count="17">
    <tableColumn name="Player" id="1"/>
    <tableColumn name="Week 1" id="2"/>
    <tableColumn name="Week 2" id="3"/>
    <tableColumn name="Week 3" id="4"/>
    <tableColumn name="Week 4" id="5"/>
    <tableColumn name="Week 5" id="6"/>
    <tableColumn name="Week 6" id="7"/>
    <tableColumn name="Week 7" id="8"/>
    <tableColumn name="Week 8" id="9"/>
    <tableColumn name="Week 9" id="10"/>
    <tableColumn name="Week 10" id="11"/>
    <tableColumn name="Week 11" id="12"/>
    <tableColumn name="Week 12" id="13"/>
    <tableColumn name="Week 13" id="14"/>
    <tableColumn name="Week 14" id="15"/>
    <tableColumn name="Week 15" id="16"/>
    <tableColumn name="Week 16" id="17"/>
  </tableColumns>
  <tableStyleInfo name="NetScores-style 2" showColumnStripes="0" showFirstColumn="1" showLastColumn="1" showRowStripes="1"/>
</table>
</file>

<file path=xl/tables/table4.xml><?xml version="1.0" encoding="utf-8"?>
<table xmlns="http://schemas.openxmlformats.org/spreadsheetml/2006/main" ref="A3:R68" displayName="Table_4" name="Table_4" id="4">
  <tableColumns count="18">
    <tableColumn name="Player" id="1"/>
    <tableColumn name="Week 1" id="2"/>
    <tableColumn name="Week 2" id="3"/>
    <tableColumn name="Week 3" id="4"/>
    <tableColumn name="Week 4" id="5"/>
    <tableColumn name="Week 5" id="6"/>
    <tableColumn name="Week 6" id="7"/>
    <tableColumn name="Week 7" id="8"/>
    <tableColumn name="Week 8" id="9"/>
    <tableColumn name="Week 9" id="10"/>
    <tableColumn name="Week 10" id="11"/>
    <tableColumn name="Week 11" id="12"/>
    <tableColumn name="Week 12" id="13"/>
    <tableColumn name="Week 13" id="14"/>
    <tableColumn name="Week 14" id="15"/>
    <tableColumn name="Week 15" id="16"/>
    <tableColumn name="Week 16" id="17"/>
    <tableColumn name="Final" id="18"/>
  </tableColumns>
  <tableStyleInfo name="Strokes-style" showColumnStripes="0" showFirstColumn="1" showLastColumn="1" showRowStripes="1"/>
</table>
</file>

<file path=xl/tables/table5.xml><?xml version="1.0" encoding="utf-8"?>
<table xmlns="http://schemas.openxmlformats.org/spreadsheetml/2006/main" ref="B3:J21" displayName="Table_5" name="Table_5" id="5">
  <tableColumns count="9">
    <tableColumn name="Week" id="1"/>
    <tableColumn name="Pot" id="2"/>
    <tableColumn name="Players" id="3"/>
    <tableColumn name="1st" id="4"/>
    <tableColumn name="2nd" id="5"/>
    <tableColumn name="3rd" id="6"/>
    <tableColumn name="4th" id="7"/>
    <tableColumn name="CTP Money" id="8"/>
    <tableColumn name="PAR 3s" id="9"/>
  </tableColumns>
  <tableStyleInfo name="MoneyStandings-style" showColumnStripes="0" showFirstColumn="1" showLastColumn="1" showRowStripes="1"/>
</table>
</file>

<file path=xl/tables/table6.xml><?xml version="1.0" encoding="utf-8"?>
<table xmlns="http://schemas.openxmlformats.org/spreadsheetml/2006/main" ref="L3:Q6" displayName="Table_6" name="Table_6" id="6">
  <tableColumns count="6">
    <tableColumn name="Players" id="1"/>
    <tableColumn name="1st" id="2"/>
    <tableColumn name="2nd" id="3"/>
    <tableColumn name="3rd" id="4"/>
    <tableColumn name="4th" id="5"/>
    <tableColumn name="CTP Money" id="6"/>
  </tableColumns>
  <tableStyleInfo name="MoneyStandings-style 2" showColumnStripes="0" showFirstColumn="1" showLastColumn="1" showRowStripes="1"/>
</table>
</file>

<file path=xl/tables/table7.xml><?xml version="1.0" encoding="utf-8"?>
<table xmlns="http://schemas.openxmlformats.org/spreadsheetml/2006/main" ref="A27:R91" displayName="Table_7" name="Table_7" id="7">
  <tableColumns count="18">
    <tableColumn name="Player" id="1"/>
    <tableColumn name="Week 1" id="2"/>
    <tableColumn name="Week 2" id="3"/>
    <tableColumn name="Week 3" id="4"/>
    <tableColumn name="Week 4" id="5"/>
    <tableColumn name="Week 5" id="6"/>
    <tableColumn name="Week 6" id="7"/>
    <tableColumn name="Week 7" id="8"/>
    <tableColumn name="Week 8" id="9"/>
    <tableColumn name="Week 9" id="10"/>
    <tableColumn name="Week 10" id="11"/>
    <tableColumn name="Week 11" id="12"/>
    <tableColumn name="Week 12" id="13"/>
    <tableColumn name="Week 13" id="14"/>
    <tableColumn name="Week 14" id="15"/>
    <tableColumn name="Week 15" id="16"/>
    <tableColumn name="Week 16" id="17"/>
    <tableColumn name="Total" id="18"/>
  </tableColumns>
  <tableStyleInfo name="MoneyStandings-style 3" showColumnStripes="0" showFirstColumn="1" showLastColumn="1" showRowStripes="1"/>
</table>
</file>

<file path=xl/tables/table8.xml><?xml version="1.0" encoding="utf-8"?>
<table xmlns="http://schemas.openxmlformats.org/spreadsheetml/2006/main" ref="A3:R68" displayName="Table_8" name="Table_8" id="8">
  <tableColumns count="18">
    <tableColumn name="Player" id="1"/>
    <tableColumn name="Week 1" id="2"/>
    <tableColumn name="Week 2" id="3"/>
    <tableColumn name="Week 3" id="4"/>
    <tableColumn name="Week 4" id="5"/>
    <tableColumn name="Week 5" id="6"/>
    <tableColumn name="Week 6" id="7"/>
    <tableColumn name="Week 7" id="8"/>
    <tableColumn name="Week 8" id="9"/>
    <tableColumn name="Week 9" id="10"/>
    <tableColumn name="Week 10" id="11"/>
    <tableColumn name="Week 11" id="12"/>
    <tableColumn name="Week 12" id="13"/>
    <tableColumn name="Week 13" id="14"/>
    <tableColumn name="Week 14" id="15"/>
    <tableColumn name="Week 15" id="16"/>
    <tableColumn name="Week 16" id="17"/>
    <tableColumn name="Final" id="18"/>
  </tableColumns>
  <tableStyleInfo name="ModifiedAvg-style" showColumnStripes="0" showFirstColumn="1" showLastColumn="1" showRowStripes="1"/>
</table>
</file>

<file path=xl/tables/table9.xml><?xml version="1.0" encoding="utf-8"?>
<table xmlns="http://schemas.openxmlformats.org/spreadsheetml/2006/main" headerRowCount="0" ref="A1" displayName="Table_9" name="Table_9" id="9">
  <tableColumns count="1">
    <tableColumn name="Column1" id="1"/>
  </tableColumns>
  <tableStyleInfo name="NetScoreForPoin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ref="A3:S57" displayName="Table_10" name="Table_10" id="10">
  <tableColumns count="19">
    <tableColumn name="Player" id="1"/>
    <tableColumn name="Week 1" id="2"/>
    <tableColumn name="Week 2" id="3"/>
    <tableColumn name="Week 3" id="4"/>
    <tableColumn name="Week 4" id="5"/>
    <tableColumn name="Week 5" id="6"/>
    <tableColumn name="Week 6" id="7"/>
    <tableColumn name="Week 7" id="8"/>
    <tableColumn name="Week 8" id="9"/>
    <tableColumn name="Week 9" id="10"/>
    <tableColumn name="Week 10" id="11"/>
    <tableColumn name="Week 11" id="12"/>
    <tableColumn name="Week 12" id="13"/>
    <tableColumn name="Week 13" id="14"/>
    <tableColumn name="Week 14" id="15"/>
    <tableColumn name="Week 15" id="16"/>
    <tableColumn name="Week 16" id="17"/>
    <tableColumn name="Week 17" id="18"/>
    <tableColumn name="Week 18" id="19"/>
  </tableColumns>
  <tableStyleInfo name="NetScoreForPoints-style 2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rbo.com/2631893?dateless=true" TargetMode="External"/><Relationship Id="rId2" Type="http://schemas.openxmlformats.org/officeDocument/2006/relationships/hyperlink" Target="https://www.vrbo.com/3898781?dateless=true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Relationship Id="rId9" Type="http://schemas.openxmlformats.org/officeDocument/2006/relationships/table" Target="../tables/table7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7.0"/>
    <col customWidth="1" min="2" max="2" width="14.13"/>
    <col customWidth="1" min="3" max="18" width="7.75"/>
  </cols>
  <sheetData>
    <row r="1">
      <c r="A1" s="1"/>
      <c r="B1" s="2"/>
      <c r="C1" s="3" t="s">
        <v>0</v>
      </c>
      <c r="S1" s="4"/>
      <c r="T1" s="4"/>
      <c r="U1" s="5"/>
    </row>
    <row r="2">
      <c r="A2" s="4"/>
      <c r="B2" s="6"/>
      <c r="C2" s="4"/>
      <c r="S2" s="4"/>
      <c r="T2" s="4"/>
      <c r="U2" s="5"/>
    </row>
    <row r="3">
      <c r="A3" s="7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1" t="s">
        <v>21</v>
      </c>
    </row>
    <row r="4">
      <c r="A4" s="12"/>
      <c r="B4" s="13" t="str">
        <f>ModifiedAvg!A4</f>
        <v>Adrian C</v>
      </c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>
        <f t="shared" ref="S4:S65" si="1">count(C4:R4)</f>
        <v>0</v>
      </c>
      <c r="T4" s="12">
        <f t="shared" ref="T4:T65" si="2">sum(C4:R4)</f>
        <v>0</v>
      </c>
      <c r="U4" s="15" t="str">
        <f t="shared" ref="U4:U65" si="3">iferror(T4/S4,"NA")</f>
        <v>NA</v>
      </c>
    </row>
    <row r="5">
      <c r="A5" s="12"/>
      <c r="B5" s="13" t="str">
        <f>ModifiedAvg!A5</f>
        <v>Alan D</v>
      </c>
      <c r="C5" s="14"/>
      <c r="D5" s="12"/>
      <c r="E5" s="12"/>
      <c r="F5" s="12"/>
      <c r="G5" s="12"/>
      <c r="H5" s="12"/>
      <c r="I5" s="12"/>
      <c r="J5" s="12"/>
      <c r="K5" s="12"/>
      <c r="L5" s="12"/>
      <c r="M5" s="4"/>
      <c r="N5" s="12"/>
      <c r="O5" s="12"/>
      <c r="P5" s="12"/>
      <c r="Q5" s="1"/>
      <c r="R5" s="12"/>
      <c r="S5" s="12">
        <f t="shared" si="1"/>
        <v>0</v>
      </c>
      <c r="T5" s="12">
        <f t="shared" si="2"/>
        <v>0</v>
      </c>
      <c r="U5" s="15" t="str">
        <f t="shared" si="3"/>
        <v>NA</v>
      </c>
    </row>
    <row r="6">
      <c r="A6" s="12"/>
      <c r="B6" s="13" t="str">
        <f>ModifiedAvg!A6</f>
        <v>Baxter C</v>
      </c>
      <c r="C6" s="12"/>
      <c r="D6" s="4"/>
      <c r="E6" s="12"/>
      <c r="F6" s="4"/>
      <c r="G6" s="12"/>
      <c r="H6" s="4"/>
      <c r="I6" s="12"/>
      <c r="J6" s="4"/>
      <c r="K6" s="12"/>
      <c r="L6" s="12"/>
      <c r="M6" s="1"/>
      <c r="N6" s="12"/>
      <c r="O6" s="1"/>
      <c r="P6" s="12"/>
      <c r="Q6" s="1"/>
      <c r="R6" s="1"/>
      <c r="S6" s="12">
        <f t="shared" si="1"/>
        <v>0</v>
      </c>
      <c r="T6" s="12">
        <f t="shared" si="2"/>
        <v>0</v>
      </c>
      <c r="U6" s="15" t="str">
        <f t="shared" si="3"/>
        <v>NA</v>
      </c>
    </row>
    <row r="7">
      <c r="A7" s="12"/>
      <c r="B7" s="13" t="str">
        <f>ModifiedAvg!A7</f>
        <v>Bill Morton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"/>
      <c r="S7" s="12">
        <f t="shared" si="1"/>
        <v>0</v>
      </c>
      <c r="T7" s="12">
        <f t="shared" si="2"/>
        <v>0</v>
      </c>
      <c r="U7" s="15" t="str">
        <f t="shared" si="3"/>
        <v>NA</v>
      </c>
    </row>
    <row r="8">
      <c r="A8" s="12"/>
      <c r="B8" s="13" t="str">
        <f>ModifiedAvg!A8</f>
        <v>Brian M</v>
      </c>
      <c r="C8" s="14">
        <v>39.0</v>
      </c>
      <c r="D8" s="12">
        <v>39.0</v>
      </c>
      <c r="E8" s="12">
        <v>42.0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>
        <f t="shared" si="1"/>
        <v>3</v>
      </c>
      <c r="T8" s="12">
        <f t="shared" si="2"/>
        <v>120</v>
      </c>
      <c r="U8" s="15">
        <f t="shared" si="3"/>
        <v>40</v>
      </c>
    </row>
    <row r="9">
      <c r="A9" s="12"/>
      <c r="B9" s="13" t="str">
        <f>ModifiedAvg!A9</f>
        <v>Bruce Marburger</v>
      </c>
      <c r="C9" s="14">
        <v>51.0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>
        <f t="shared" si="1"/>
        <v>1</v>
      </c>
      <c r="T9" s="12">
        <f t="shared" si="2"/>
        <v>51</v>
      </c>
      <c r="U9" s="15">
        <f t="shared" si="3"/>
        <v>51</v>
      </c>
    </row>
    <row r="10">
      <c r="A10" s="12"/>
      <c r="B10" s="13" t="str">
        <f>ModifiedAvg!A10</f>
        <v>Cole L</v>
      </c>
      <c r="C10" s="1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>
        <f t="shared" si="1"/>
        <v>0</v>
      </c>
      <c r="T10" s="12">
        <f t="shared" si="2"/>
        <v>0</v>
      </c>
      <c r="U10" s="15" t="str">
        <f t="shared" si="3"/>
        <v>NA</v>
      </c>
    </row>
    <row r="11">
      <c r="A11" s="12">
        <v>1.0</v>
      </c>
      <c r="B11" s="13" t="str">
        <f>ModifiedAvg!A11</f>
        <v>Danny C</v>
      </c>
      <c r="C11" s="14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>
        <f t="shared" si="1"/>
        <v>0</v>
      </c>
      <c r="T11" s="12">
        <f t="shared" si="2"/>
        <v>0</v>
      </c>
      <c r="U11" s="15" t="str">
        <f t="shared" si="3"/>
        <v>NA</v>
      </c>
    </row>
    <row r="12">
      <c r="A12" s="12">
        <v>1.0</v>
      </c>
      <c r="B12" s="13" t="str">
        <f>ModifiedAvg!A12</f>
        <v>Eddie G</v>
      </c>
      <c r="C12" s="14"/>
      <c r="D12" s="12"/>
      <c r="E12" s="12">
        <v>52.0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>
        <f t="shared" si="1"/>
        <v>1</v>
      </c>
      <c r="T12" s="12">
        <f t="shared" si="2"/>
        <v>52</v>
      </c>
      <c r="U12" s="15">
        <f t="shared" si="3"/>
        <v>52</v>
      </c>
    </row>
    <row r="13">
      <c r="A13" s="12"/>
      <c r="B13" s="13" t="str">
        <f>ModifiedAvg!A13</f>
        <v>Grant G</v>
      </c>
      <c r="C13" s="14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>
        <f t="shared" si="1"/>
        <v>0</v>
      </c>
      <c r="T13" s="12">
        <f t="shared" si="2"/>
        <v>0</v>
      </c>
      <c r="U13" s="15" t="str">
        <f t="shared" si="3"/>
        <v>NA</v>
      </c>
    </row>
    <row r="14">
      <c r="A14" s="12"/>
      <c r="B14" s="13" t="str">
        <f>ModifiedAvg!A14</f>
        <v>Jeff H</v>
      </c>
      <c r="C14" s="12"/>
      <c r="D14" s="12"/>
      <c r="E14" s="4"/>
      <c r="F14" s="12"/>
      <c r="G14" s="12"/>
      <c r="H14" s="12"/>
      <c r="I14" s="12"/>
      <c r="J14" s="4"/>
      <c r="K14" s="4"/>
      <c r="L14" s="1"/>
      <c r="M14" s="4"/>
      <c r="N14" s="12"/>
      <c r="O14" s="4"/>
      <c r="P14" s="4"/>
      <c r="Q14" s="1"/>
      <c r="R14" s="1"/>
      <c r="S14" s="12">
        <f t="shared" si="1"/>
        <v>0</v>
      </c>
      <c r="T14" s="12">
        <f t="shared" si="2"/>
        <v>0</v>
      </c>
      <c r="U14" s="15" t="str">
        <f t="shared" si="3"/>
        <v>NA</v>
      </c>
    </row>
    <row r="15">
      <c r="A15" s="12"/>
      <c r="B15" s="13" t="str">
        <f>ModifiedAvg!A15</f>
        <v>Jenna T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4"/>
      <c r="Q15" s="12"/>
      <c r="R15" s="12"/>
      <c r="S15" s="12">
        <f t="shared" si="1"/>
        <v>0</v>
      </c>
      <c r="T15" s="12">
        <f t="shared" si="2"/>
        <v>0</v>
      </c>
      <c r="U15" s="15" t="str">
        <f t="shared" si="3"/>
        <v>NA</v>
      </c>
    </row>
    <row r="16">
      <c r="A16" s="12">
        <v>1.0</v>
      </c>
      <c r="B16" s="13" t="str">
        <f>ModifiedAvg!A16</f>
        <v>Jeremy H</v>
      </c>
      <c r="C16" s="14"/>
      <c r="D16" s="12"/>
      <c r="E16" s="1"/>
      <c r="F16" s="12"/>
      <c r="G16" s="12"/>
      <c r="H16" s="12"/>
      <c r="I16" s="12"/>
      <c r="J16" s="12"/>
      <c r="K16" s="1"/>
      <c r="L16" s="12"/>
      <c r="M16" s="4"/>
      <c r="N16" s="1"/>
      <c r="O16" s="12"/>
      <c r="P16" s="4"/>
      <c r="Q16" s="12"/>
      <c r="R16" s="12"/>
      <c r="S16" s="12">
        <f t="shared" si="1"/>
        <v>0</v>
      </c>
      <c r="T16" s="12">
        <f t="shared" si="2"/>
        <v>0</v>
      </c>
      <c r="U16" s="15" t="str">
        <f t="shared" si="3"/>
        <v>NA</v>
      </c>
    </row>
    <row r="17">
      <c r="A17" s="12"/>
      <c r="B17" s="13" t="str">
        <f>ModifiedAvg!A17</f>
        <v>Jeremy S</v>
      </c>
      <c r="C17" s="14"/>
      <c r="D17" s="12"/>
      <c r="E17" s="12"/>
      <c r="F17" s="12"/>
      <c r="G17" s="4"/>
      <c r="H17" s="12"/>
      <c r="I17" s="12"/>
      <c r="J17" s="12"/>
      <c r="K17" s="12"/>
      <c r="L17" s="4"/>
      <c r="M17" s="12"/>
      <c r="N17" s="12"/>
      <c r="O17" s="12"/>
      <c r="P17" s="12"/>
      <c r="Q17" s="12"/>
      <c r="R17" s="12"/>
      <c r="S17" s="12">
        <f t="shared" si="1"/>
        <v>0</v>
      </c>
      <c r="T17" s="12">
        <f t="shared" si="2"/>
        <v>0</v>
      </c>
      <c r="U17" s="15" t="str">
        <f t="shared" si="3"/>
        <v>NA</v>
      </c>
    </row>
    <row r="18">
      <c r="A18" s="12"/>
      <c r="B18" s="13" t="str">
        <f>ModifiedAvg!A18</f>
        <v>Jon L</v>
      </c>
      <c r="C18" s="12">
        <v>48.0</v>
      </c>
      <c r="D18" s="12">
        <v>43.0</v>
      </c>
      <c r="E18" s="12">
        <v>45.0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>
        <f t="shared" si="1"/>
        <v>3</v>
      </c>
      <c r="T18" s="12">
        <f t="shared" si="2"/>
        <v>136</v>
      </c>
      <c r="U18" s="15">
        <f t="shared" si="3"/>
        <v>45.33333333</v>
      </c>
    </row>
    <row r="19">
      <c r="A19" s="12"/>
      <c r="B19" s="13" t="str">
        <f>ModifiedAvg!A19</f>
        <v>Jonah R</v>
      </c>
      <c r="C19" s="14"/>
      <c r="D19" s="12">
        <v>47.0</v>
      </c>
      <c r="E19" s="12"/>
      <c r="F19" s="12"/>
      <c r="G19" s="12"/>
      <c r="H19" s="12"/>
      <c r="I19" s="12"/>
      <c r="J19" s="12"/>
      <c r="K19" s="12"/>
      <c r="L19" s="4"/>
      <c r="M19" s="12"/>
      <c r="N19" s="4"/>
      <c r="O19" s="12"/>
      <c r="P19" s="12"/>
      <c r="Q19" s="1"/>
      <c r="R19" s="1"/>
      <c r="S19" s="12">
        <f t="shared" si="1"/>
        <v>1</v>
      </c>
      <c r="T19" s="12">
        <f t="shared" si="2"/>
        <v>47</v>
      </c>
      <c r="U19" s="15">
        <f t="shared" si="3"/>
        <v>47</v>
      </c>
    </row>
    <row r="20">
      <c r="A20" s="12"/>
      <c r="B20" s="13" t="str">
        <f>ModifiedAvg!A20</f>
        <v>Jordan V</v>
      </c>
      <c r="C20" s="14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>
        <f t="shared" si="1"/>
        <v>0</v>
      </c>
      <c r="T20" s="12">
        <f t="shared" si="2"/>
        <v>0</v>
      </c>
      <c r="U20" s="15" t="str">
        <f t="shared" si="3"/>
        <v>NA</v>
      </c>
    </row>
    <row r="21">
      <c r="A21" s="12">
        <v>1.0</v>
      </c>
      <c r="B21" s="13" t="str">
        <f>ModifiedAvg!A21</f>
        <v>Kyle N</v>
      </c>
      <c r="C21" s="12">
        <v>41.0</v>
      </c>
      <c r="D21" s="12">
        <v>47.0</v>
      </c>
      <c r="E21" s="12">
        <v>38.0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"/>
      <c r="S21" s="12">
        <f t="shared" si="1"/>
        <v>3</v>
      </c>
      <c r="T21" s="12">
        <f t="shared" si="2"/>
        <v>126</v>
      </c>
      <c r="U21" s="15">
        <f t="shared" si="3"/>
        <v>42</v>
      </c>
    </row>
    <row r="22">
      <c r="A22" s="12"/>
      <c r="B22" s="13" t="str">
        <f>ModifiedAvg!A22</f>
        <v>Laura L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>
        <f t="shared" si="1"/>
        <v>0</v>
      </c>
      <c r="T22" s="12">
        <f t="shared" si="2"/>
        <v>0</v>
      </c>
      <c r="U22" s="15" t="str">
        <f t="shared" si="3"/>
        <v>NA</v>
      </c>
    </row>
    <row r="23">
      <c r="A23" s="12"/>
      <c r="B23" s="13" t="str">
        <f>ModifiedAvg!A23</f>
        <v>Luke W</v>
      </c>
      <c r="C23" s="14"/>
      <c r="D23" s="12"/>
      <c r="E23" s="12">
        <v>36.0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>
        <f t="shared" si="1"/>
        <v>1</v>
      </c>
      <c r="T23" s="12">
        <f t="shared" si="2"/>
        <v>36</v>
      </c>
      <c r="U23" s="15">
        <f t="shared" si="3"/>
        <v>36</v>
      </c>
    </row>
    <row r="24">
      <c r="A24" s="12"/>
      <c r="B24" s="13" t="str">
        <f>ModifiedAvg!A24</f>
        <v>Marc C</v>
      </c>
      <c r="C24" s="14">
        <v>34.0</v>
      </c>
      <c r="D24" s="12">
        <v>39.0</v>
      </c>
      <c r="E24" s="12"/>
      <c r="F24" s="12"/>
      <c r="G24" s="12"/>
      <c r="H24" s="12"/>
      <c r="I24" s="1"/>
      <c r="J24" s="12"/>
      <c r="K24" s="12"/>
      <c r="L24" s="12"/>
      <c r="M24" s="4"/>
      <c r="N24" s="12"/>
      <c r="O24" s="12"/>
      <c r="P24" s="12"/>
      <c r="Q24" s="12"/>
      <c r="R24" s="12"/>
      <c r="S24" s="12">
        <f t="shared" si="1"/>
        <v>2</v>
      </c>
      <c r="T24" s="12">
        <f t="shared" si="2"/>
        <v>73</v>
      </c>
      <c r="U24" s="15">
        <f t="shared" si="3"/>
        <v>36.5</v>
      </c>
    </row>
    <row r="25">
      <c r="A25" s="12"/>
      <c r="B25" s="13" t="str">
        <f>ModifiedAvg!A25</f>
        <v>Mark M</v>
      </c>
      <c r="C25" s="12">
        <v>45.0</v>
      </c>
      <c r="D25" s="12">
        <v>46.0</v>
      </c>
      <c r="E25" s="12">
        <v>46.0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>
        <f t="shared" si="1"/>
        <v>3</v>
      </c>
      <c r="T25" s="12">
        <f t="shared" si="2"/>
        <v>137</v>
      </c>
      <c r="U25" s="15">
        <f t="shared" si="3"/>
        <v>45.66666667</v>
      </c>
    </row>
    <row r="26">
      <c r="A26" s="12"/>
      <c r="B26" s="13" t="str">
        <f>ModifiedAvg!A26</f>
        <v>Martin R</v>
      </c>
      <c r="C26" s="14"/>
      <c r="D26" s="12"/>
      <c r="E26" s="4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>
        <f t="shared" si="1"/>
        <v>0</v>
      </c>
      <c r="T26" s="12">
        <f t="shared" si="2"/>
        <v>0</v>
      </c>
      <c r="U26" s="15" t="str">
        <f t="shared" si="3"/>
        <v>NA</v>
      </c>
    </row>
    <row r="27">
      <c r="A27" s="12"/>
      <c r="B27" s="13" t="str">
        <f>ModifiedAvg!A27</f>
        <v>Minji S</v>
      </c>
      <c r="C27" s="14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4"/>
      <c r="P27" s="12"/>
      <c r="Q27" s="12"/>
      <c r="R27" s="12"/>
      <c r="S27" s="12">
        <f t="shared" si="1"/>
        <v>0</v>
      </c>
      <c r="T27" s="12">
        <f t="shared" si="2"/>
        <v>0</v>
      </c>
      <c r="U27" s="15" t="str">
        <f t="shared" si="3"/>
        <v>NA</v>
      </c>
    </row>
    <row r="28">
      <c r="A28" s="12"/>
      <c r="B28" s="13" t="str">
        <f>ModifiedAvg!A28</f>
        <v>Nate R</v>
      </c>
      <c r="C28" s="14">
        <v>53.0</v>
      </c>
      <c r="D28" s="12">
        <v>54.0</v>
      </c>
      <c r="E28" s="12">
        <v>53.0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>
        <f t="shared" si="1"/>
        <v>3</v>
      </c>
      <c r="T28" s="12">
        <f t="shared" si="2"/>
        <v>160</v>
      </c>
      <c r="U28" s="15">
        <f t="shared" si="3"/>
        <v>53.33333333</v>
      </c>
    </row>
    <row r="29">
      <c r="A29" s="12"/>
      <c r="B29" s="13" t="str">
        <f>ModifiedAvg!A29</f>
        <v>Phil J</v>
      </c>
      <c r="C29" s="14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>
        <f t="shared" si="1"/>
        <v>0</v>
      </c>
      <c r="T29" s="12">
        <f t="shared" si="2"/>
        <v>0</v>
      </c>
      <c r="U29" s="15" t="str">
        <f t="shared" si="3"/>
        <v>NA</v>
      </c>
    </row>
    <row r="30">
      <c r="A30" s="12"/>
      <c r="B30" s="13" t="str">
        <f>ModifiedAvg!A30</f>
        <v>Preston C</v>
      </c>
      <c r="C30" s="14">
        <v>38.0</v>
      </c>
      <c r="D30" s="12">
        <v>43.0</v>
      </c>
      <c r="E30" s="12">
        <v>40.0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>
        <f t="shared" si="1"/>
        <v>3</v>
      </c>
      <c r="T30" s="12">
        <f t="shared" si="2"/>
        <v>121</v>
      </c>
      <c r="U30" s="15">
        <f t="shared" si="3"/>
        <v>40.33333333</v>
      </c>
    </row>
    <row r="31">
      <c r="A31" s="12"/>
      <c r="B31" s="13" t="str">
        <f>ModifiedAvg!A31</f>
        <v>Rich</v>
      </c>
      <c r="C31" s="14"/>
      <c r="D31" s="12"/>
      <c r="E31" s="12">
        <v>44.0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>
        <f t="shared" si="1"/>
        <v>1</v>
      </c>
      <c r="T31" s="12">
        <f t="shared" si="2"/>
        <v>44</v>
      </c>
      <c r="U31" s="15">
        <f t="shared" si="3"/>
        <v>44</v>
      </c>
    </row>
    <row r="32">
      <c r="A32" s="12"/>
      <c r="B32" s="13" t="str">
        <f>ModifiedAvg!A32</f>
        <v>Russ B</v>
      </c>
      <c r="C32" s="14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>
        <f t="shared" si="1"/>
        <v>0</v>
      </c>
      <c r="T32" s="12">
        <f t="shared" si="2"/>
        <v>0</v>
      </c>
      <c r="U32" s="15" t="str">
        <f t="shared" si="3"/>
        <v>NA</v>
      </c>
    </row>
    <row r="33">
      <c r="A33" s="12"/>
      <c r="B33" s="13" t="str">
        <f>ModifiedAvg!A33</f>
        <v>Russ H</v>
      </c>
      <c r="C33" s="14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>
        <f t="shared" si="1"/>
        <v>0</v>
      </c>
      <c r="T33" s="12">
        <f t="shared" si="2"/>
        <v>0</v>
      </c>
      <c r="U33" s="15" t="str">
        <f t="shared" si="3"/>
        <v>NA</v>
      </c>
    </row>
    <row r="34">
      <c r="A34" s="12">
        <v>1.0</v>
      </c>
      <c r="B34" s="13" t="str">
        <f>ModifiedAvg!A34</f>
        <v>Ryan R</v>
      </c>
      <c r="C34" s="14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>
        <f t="shared" si="1"/>
        <v>0</v>
      </c>
      <c r="T34" s="12">
        <f t="shared" si="2"/>
        <v>0</v>
      </c>
      <c r="U34" s="15" t="str">
        <f t="shared" si="3"/>
        <v>NA</v>
      </c>
    </row>
    <row r="35">
      <c r="A35" s="12"/>
      <c r="B35" s="13" t="str">
        <f>ModifiedAvg!A35</f>
        <v>Scott M</v>
      </c>
      <c r="C35" s="14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>
        <f t="shared" si="1"/>
        <v>0</v>
      </c>
      <c r="T35" s="12">
        <f t="shared" si="2"/>
        <v>0</v>
      </c>
      <c r="U35" s="15" t="str">
        <f t="shared" si="3"/>
        <v>NA</v>
      </c>
    </row>
    <row r="36">
      <c r="A36" s="12"/>
      <c r="B36" s="13" t="str">
        <f>ModifiedAvg!A36</f>
        <v>Seth A</v>
      </c>
      <c r="C36" s="14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>
        <f t="shared" si="1"/>
        <v>0</v>
      </c>
      <c r="T36" s="12">
        <f t="shared" si="2"/>
        <v>0</v>
      </c>
      <c r="U36" s="15" t="str">
        <f t="shared" si="3"/>
        <v>NA</v>
      </c>
    </row>
    <row r="37">
      <c r="A37" s="12"/>
      <c r="B37" s="13" t="str">
        <f>ModifiedAvg!A37</f>
        <v>Simon R</v>
      </c>
      <c r="C37" s="14">
        <v>36.0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>
        <f t="shared" si="1"/>
        <v>1</v>
      </c>
      <c r="T37" s="12">
        <f t="shared" si="2"/>
        <v>36</v>
      </c>
      <c r="U37" s="15">
        <f t="shared" si="3"/>
        <v>36</v>
      </c>
    </row>
    <row r="38">
      <c r="A38" s="12"/>
      <c r="B38" s="13" t="str">
        <f>ModifiedAvg!A38</f>
        <v>Steve S</v>
      </c>
      <c r="C38" s="14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>
        <f t="shared" si="1"/>
        <v>0</v>
      </c>
      <c r="T38" s="12">
        <f t="shared" si="2"/>
        <v>0</v>
      </c>
      <c r="U38" s="15" t="str">
        <f t="shared" si="3"/>
        <v>NA</v>
      </c>
    </row>
    <row r="39">
      <c r="A39" s="12"/>
      <c r="B39" s="13" t="str">
        <f>ModifiedAvg!A39</f>
        <v>Tanner Brown</v>
      </c>
      <c r="C39" s="14"/>
      <c r="D39" s="12">
        <v>52.0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>
        <f t="shared" si="1"/>
        <v>1</v>
      </c>
      <c r="T39" s="12">
        <f t="shared" si="2"/>
        <v>52</v>
      </c>
      <c r="U39" s="15">
        <f t="shared" si="3"/>
        <v>52</v>
      </c>
    </row>
    <row r="40">
      <c r="A40" s="12"/>
      <c r="B40" s="13" t="str">
        <f>ModifiedAvg!A40</f>
        <v>Tanner Buechele</v>
      </c>
      <c r="C40" s="14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>
        <f t="shared" si="1"/>
        <v>0</v>
      </c>
      <c r="T40" s="12">
        <f t="shared" si="2"/>
        <v>0</v>
      </c>
      <c r="U40" s="15" t="str">
        <f t="shared" si="3"/>
        <v>NA</v>
      </c>
    </row>
    <row r="41">
      <c r="A41" s="12"/>
      <c r="B41" s="13" t="str">
        <f>ModifiedAvg!A41</f>
        <v>Thomas Y</v>
      </c>
      <c r="C41" s="14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>
        <f t="shared" si="1"/>
        <v>0</v>
      </c>
      <c r="T41" s="12">
        <f t="shared" si="2"/>
        <v>0</v>
      </c>
      <c r="U41" s="15" t="str">
        <f t="shared" si="3"/>
        <v>NA</v>
      </c>
    </row>
    <row r="42">
      <c r="A42" s="12"/>
      <c r="B42" s="13" t="str">
        <f>ModifiedAvg!A42</f>
        <v>Tom B</v>
      </c>
      <c r="C42" s="14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>
        <f t="shared" si="1"/>
        <v>0</v>
      </c>
      <c r="T42" s="12">
        <f t="shared" si="2"/>
        <v>0</v>
      </c>
      <c r="U42" s="15" t="str">
        <f t="shared" si="3"/>
        <v>NA</v>
      </c>
    </row>
    <row r="43">
      <c r="A43" s="12"/>
      <c r="B43" s="13" t="str">
        <f>ModifiedAvg!A43</f>
        <v>Tommy</v>
      </c>
      <c r="C43" s="14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>
        <f t="shared" si="1"/>
        <v>0</v>
      </c>
      <c r="T43" s="12">
        <f t="shared" si="2"/>
        <v>0</v>
      </c>
      <c r="U43" s="15" t="str">
        <f t="shared" si="3"/>
        <v>NA</v>
      </c>
    </row>
    <row r="44">
      <c r="A44" s="12"/>
      <c r="B44" s="13" t="str">
        <f>ModifiedAvg!A44</f>
        <v>Walt S</v>
      </c>
      <c r="C44" s="14">
        <v>37.0</v>
      </c>
      <c r="D44" s="12"/>
      <c r="E44" s="12">
        <v>35.0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>
        <f t="shared" si="1"/>
        <v>2</v>
      </c>
      <c r="T44" s="12">
        <f t="shared" si="2"/>
        <v>72</v>
      </c>
      <c r="U44" s="15">
        <f t="shared" si="3"/>
        <v>36</v>
      </c>
    </row>
    <row r="45">
      <c r="A45" s="12"/>
      <c r="B45" s="13" t="s">
        <v>22</v>
      </c>
      <c r="C45" s="14"/>
      <c r="D45" s="12"/>
      <c r="E45" s="12"/>
      <c r="F45" s="12"/>
      <c r="G45" s="12"/>
      <c r="H45" s="12"/>
      <c r="I45" s="12"/>
      <c r="J45" s="12"/>
      <c r="K45" s="12"/>
      <c r="L45" s="12"/>
      <c r="M45" s="4"/>
      <c r="N45" s="12"/>
      <c r="O45" s="12"/>
      <c r="P45" s="12"/>
      <c r="Q45" s="12"/>
      <c r="R45" s="12"/>
      <c r="S45" s="12">
        <f t="shared" si="1"/>
        <v>0</v>
      </c>
      <c r="T45" s="12">
        <f t="shared" si="2"/>
        <v>0</v>
      </c>
      <c r="U45" s="15" t="str">
        <f t="shared" si="3"/>
        <v>NA</v>
      </c>
    </row>
    <row r="46">
      <c r="A46" s="12">
        <v>1.0</v>
      </c>
      <c r="B46" s="13" t="str">
        <f>ModifiedAvg!A46</f>
        <v>Josh Norris</v>
      </c>
      <c r="C46" s="14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>
        <f t="shared" si="1"/>
        <v>0</v>
      </c>
      <c r="T46" s="12">
        <f t="shared" si="2"/>
        <v>0</v>
      </c>
      <c r="U46" s="15" t="str">
        <f t="shared" si="3"/>
        <v>NA</v>
      </c>
    </row>
    <row r="47">
      <c r="A47" s="12">
        <v>1.0</v>
      </c>
      <c r="B47" s="13" t="s">
        <v>23</v>
      </c>
      <c r="C47" s="14"/>
      <c r="D47" s="12"/>
      <c r="E47" s="12"/>
      <c r="F47" s="12"/>
      <c r="G47" s="12"/>
      <c r="H47" s="12"/>
      <c r="I47" s="12"/>
      <c r="J47" s="12"/>
      <c r="K47" s="12"/>
      <c r="L47" s="12"/>
      <c r="M47" s="4"/>
      <c r="N47" s="12"/>
      <c r="O47" s="12"/>
      <c r="P47" s="4"/>
      <c r="Q47" s="12"/>
      <c r="R47" s="12"/>
      <c r="S47" s="12">
        <f t="shared" si="1"/>
        <v>0</v>
      </c>
      <c r="T47" s="12">
        <f t="shared" si="2"/>
        <v>0</v>
      </c>
      <c r="U47" s="15" t="str">
        <f t="shared" si="3"/>
        <v>NA</v>
      </c>
    </row>
    <row r="48">
      <c r="A48" s="12"/>
      <c r="B48" s="13" t="s">
        <v>24</v>
      </c>
      <c r="C48" s="14">
        <v>46.0</v>
      </c>
      <c r="D48" s="12">
        <v>44.0</v>
      </c>
      <c r="E48" s="12"/>
      <c r="F48" s="12"/>
      <c r="G48" s="12"/>
      <c r="H48" s="12"/>
      <c r="I48" s="12"/>
      <c r="J48" s="12"/>
      <c r="K48" s="12"/>
      <c r="L48" s="12"/>
      <c r="M48" s="4"/>
      <c r="N48" s="12"/>
      <c r="O48" s="12"/>
      <c r="P48" s="12"/>
      <c r="Q48" s="12"/>
      <c r="R48" s="12"/>
      <c r="S48" s="12">
        <f t="shared" si="1"/>
        <v>2</v>
      </c>
      <c r="T48" s="12">
        <f t="shared" si="2"/>
        <v>90</v>
      </c>
      <c r="U48" s="15">
        <f t="shared" si="3"/>
        <v>45</v>
      </c>
    </row>
    <row r="49">
      <c r="A49" s="12"/>
      <c r="B49" s="13" t="s">
        <v>25</v>
      </c>
      <c r="C49" s="14">
        <v>43.0</v>
      </c>
      <c r="D49" s="12">
        <v>45.0</v>
      </c>
      <c r="E49" s="12">
        <v>45.0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>
        <f t="shared" si="1"/>
        <v>3</v>
      </c>
      <c r="T49" s="12">
        <f t="shared" si="2"/>
        <v>133</v>
      </c>
      <c r="U49" s="15">
        <f t="shared" si="3"/>
        <v>44.33333333</v>
      </c>
    </row>
    <row r="50">
      <c r="A50" s="12"/>
      <c r="B50" s="13" t="s">
        <v>26</v>
      </c>
      <c r="C50" s="14">
        <v>47.0</v>
      </c>
      <c r="D50" s="12"/>
      <c r="E50" s="12">
        <v>46.0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>
        <f t="shared" si="1"/>
        <v>2</v>
      </c>
      <c r="T50" s="12">
        <f t="shared" si="2"/>
        <v>93</v>
      </c>
      <c r="U50" s="15">
        <f t="shared" si="3"/>
        <v>46.5</v>
      </c>
    </row>
    <row r="51">
      <c r="A51" s="12"/>
      <c r="B51" s="13" t="str">
        <f>ModifiedAvg!A51</f>
        <v>Davis</v>
      </c>
      <c r="C51" s="14"/>
      <c r="D51" s="12"/>
      <c r="E51" s="12"/>
      <c r="F51" s="12"/>
      <c r="G51" s="12"/>
      <c r="H51" s="12"/>
      <c r="I51" s="12"/>
      <c r="J51" s="12"/>
      <c r="K51" s="12"/>
      <c r="L51" s="12"/>
      <c r="M51" s="4"/>
      <c r="N51" s="12"/>
      <c r="O51" s="12"/>
      <c r="P51" s="4"/>
      <c r="Q51" s="12"/>
      <c r="R51" s="12"/>
      <c r="S51" s="12">
        <f t="shared" si="1"/>
        <v>0</v>
      </c>
      <c r="T51" s="12">
        <f t="shared" si="2"/>
        <v>0</v>
      </c>
      <c r="U51" s="15" t="str">
        <f t="shared" si="3"/>
        <v>NA</v>
      </c>
    </row>
    <row r="52">
      <c r="A52" s="12"/>
      <c r="B52" s="13" t="str">
        <f>ModifiedAvg!A52</f>
        <v>Amanda C</v>
      </c>
      <c r="C52" s="14"/>
      <c r="D52" s="12"/>
      <c r="E52" s="12"/>
      <c r="F52" s="12"/>
      <c r="G52" s="12"/>
      <c r="H52" s="12"/>
      <c r="I52" s="12"/>
      <c r="J52" s="12"/>
      <c r="K52" s="12"/>
      <c r="L52" s="12"/>
      <c r="M52" s="4"/>
      <c r="N52" s="12"/>
      <c r="O52" s="12"/>
      <c r="P52" s="4"/>
      <c r="Q52" s="12"/>
      <c r="R52" s="12"/>
      <c r="S52" s="12">
        <f t="shared" si="1"/>
        <v>0</v>
      </c>
      <c r="T52" s="12">
        <f t="shared" si="2"/>
        <v>0</v>
      </c>
      <c r="U52" s="15" t="str">
        <f t="shared" si="3"/>
        <v>NA</v>
      </c>
    </row>
    <row r="53">
      <c r="A53" s="12"/>
      <c r="B53" s="13" t="str">
        <f>ModifiedAvg!A53</f>
        <v>blank9</v>
      </c>
      <c r="C53" s="14"/>
      <c r="D53" s="12"/>
      <c r="E53" s="12"/>
      <c r="F53" s="12"/>
      <c r="G53" s="12"/>
      <c r="H53" s="12"/>
      <c r="I53" s="12"/>
      <c r="J53" s="12"/>
      <c r="K53" s="12"/>
      <c r="L53" s="12"/>
      <c r="M53" s="4"/>
      <c r="N53" s="12"/>
      <c r="O53" s="12"/>
      <c r="P53" s="4"/>
      <c r="Q53" s="12"/>
      <c r="R53" s="12"/>
      <c r="S53" s="12">
        <f t="shared" si="1"/>
        <v>0</v>
      </c>
      <c r="T53" s="12">
        <f t="shared" si="2"/>
        <v>0</v>
      </c>
      <c r="U53" s="15" t="str">
        <f t="shared" si="3"/>
        <v>NA</v>
      </c>
    </row>
    <row r="54">
      <c r="A54" s="12"/>
      <c r="B54" s="13" t="str">
        <f>ModifiedAvg!A54</f>
        <v>blank10</v>
      </c>
      <c r="C54" s="14"/>
      <c r="D54" s="12"/>
      <c r="E54" s="12"/>
      <c r="F54" s="12"/>
      <c r="G54" s="12"/>
      <c r="H54" s="12"/>
      <c r="I54" s="12"/>
      <c r="J54" s="12"/>
      <c r="K54" s="12"/>
      <c r="L54" s="12"/>
      <c r="M54" s="4"/>
      <c r="N54" s="12"/>
      <c r="O54" s="12"/>
      <c r="P54" s="4"/>
      <c r="Q54" s="12"/>
      <c r="R54" s="12"/>
      <c r="S54" s="12">
        <f t="shared" si="1"/>
        <v>0</v>
      </c>
      <c r="T54" s="12">
        <f t="shared" si="2"/>
        <v>0</v>
      </c>
      <c r="U54" s="15" t="str">
        <f t="shared" si="3"/>
        <v>NA</v>
      </c>
    </row>
    <row r="55">
      <c r="A55" s="12"/>
      <c r="B55" s="13" t="str">
        <f>ModifiedAvg!A55</f>
        <v>blank11</v>
      </c>
      <c r="C55" s="14"/>
      <c r="D55" s="12"/>
      <c r="E55" s="12"/>
      <c r="F55" s="12"/>
      <c r="G55" s="12"/>
      <c r="H55" s="12"/>
      <c r="I55" s="12"/>
      <c r="J55" s="12"/>
      <c r="K55" s="12"/>
      <c r="L55" s="12"/>
      <c r="M55" s="4"/>
      <c r="N55" s="12"/>
      <c r="O55" s="12"/>
      <c r="P55" s="4"/>
      <c r="Q55" s="12"/>
      <c r="R55" s="12"/>
      <c r="S55" s="12">
        <f t="shared" si="1"/>
        <v>0</v>
      </c>
      <c r="T55" s="12">
        <f t="shared" si="2"/>
        <v>0</v>
      </c>
      <c r="U55" s="15" t="str">
        <f t="shared" si="3"/>
        <v>NA</v>
      </c>
    </row>
    <row r="56">
      <c r="A56" s="12"/>
      <c r="B56" s="13" t="str">
        <f>ModifiedAvg!A56</f>
        <v>blank12</v>
      </c>
      <c r="C56" s="14"/>
      <c r="D56" s="12"/>
      <c r="E56" s="12"/>
      <c r="F56" s="12"/>
      <c r="G56" s="12"/>
      <c r="H56" s="12"/>
      <c r="I56" s="12"/>
      <c r="J56" s="12"/>
      <c r="K56" s="12"/>
      <c r="L56" s="12"/>
      <c r="M56" s="4"/>
      <c r="N56" s="12"/>
      <c r="O56" s="12"/>
      <c r="P56" s="4"/>
      <c r="Q56" s="12"/>
      <c r="R56" s="12"/>
      <c r="S56" s="12">
        <f t="shared" si="1"/>
        <v>0</v>
      </c>
      <c r="T56" s="12">
        <f t="shared" si="2"/>
        <v>0</v>
      </c>
      <c r="U56" s="15" t="str">
        <f t="shared" si="3"/>
        <v>NA</v>
      </c>
    </row>
    <row r="57">
      <c r="A57" s="12"/>
      <c r="B57" s="13" t="str">
        <f>ModifiedAvg!A57</f>
        <v>blank13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>
        <f t="shared" si="1"/>
        <v>0</v>
      </c>
      <c r="T57" s="12">
        <f t="shared" si="2"/>
        <v>0</v>
      </c>
      <c r="U57" s="15" t="str">
        <f t="shared" si="3"/>
        <v>NA</v>
      </c>
    </row>
    <row r="58">
      <c r="A58" s="12"/>
      <c r="B58" s="13" t="str">
        <f>ModifiedAvg!A58</f>
        <v>blank14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>
        <f t="shared" si="1"/>
        <v>0</v>
      </c>
      <c r="T58" s="12">
        <f t="shared" si="2"/>
        <v>0</v>
      </c>
      <c r="U58" s="15" t="str">
        <f t="shared" si="3"/>
        <v>NA</v>
      </c>
    </row>
    <row r="59">
      <c r="A59" s="12"/>
      <c r="B59" s="13" t="str">
        <f>ModifiedAvg!A59</f>
        <v>blank15</v>
      </c>
      <c r="C59" s="4"/>
      <c r="D59" s="12"/>
      <c r="E59" s="12"/>
      <c r="F59" s="12"/>
      <c r="G59" s="12"/>
      <c r="H59" s="12"/>
      <c r="I59" s="12"/>
      <c r="J59" s="12"/>
      <c r="K59" s="4"/>
      <c r="L59" s="4"/>
      <c r="M59" s="4"/>
      <c r="N59" s="4"/>
      <c r="O59" s="4"/>
      <c r="P59" s="12"/>
      <c r="Q59" s="4"/>
      <c r="R59" s="12"/>
      <c r="S59" s="12">
        <f t="shared" si="1"/>
        <v>0</v>
      </c>
      <c r="T59" s="12">
        <f t="shared" si="2"/>
        <v>0</v>
      </c>
      <c r="U59" s="15" t="str">
        <f t="shared" si="3"/>
        <v>NA</v>
      </c>
    </row>
    <row r="60">
      <c r="A60" s="12"/>
      <c r="B60" s="13" t="str">
        <f>ModifiedAvg!A60</f>
        <v>blank16</v>
      </c>
      <c r="C60" s="1"/>
      <c r="D60" s="12"/>
      <c r="E60" s="12"/>
      <c r="F60" s="12"/>
      <c r="G60" s="12"/>
      <c r="H60" s="1"/>
      <c r="I60" s="12"/>
      <c r="J60" s="1"/>
      <c r="K60" s="12"/>
      <c r="L60" s="1"/>
      <c r="M60" s="1"/>
      <c r="N60" s="1"/>
      <c r="O60" s="1"/>
      <c r="P60" s="1"/>
      <c r="Q60" s="12"/>
      <c r="R60" s="12"/>
      <c r="S60" s="12">
        <f t="shared" si="1"/>
        <v>0</v>
      </c>
      <c r="T60" s="12">
        <f t="shared" si="2"/>
        <v>0</v>
      </c>
      <c r="U60" s="15" t="str">
        <f t="shared" si="3"/>
        <v>NA</v>
      </c>
    </row>
    <row r="61">
      <c r="A61" s="12"/>
      <c r="B61" s="13" t="str">
        <f>ModifiedAvg!A61</f>
        <v>blank17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>
        <f t="shared" si="1"/>
        <v>0</v>
      </c>
      <c r="T61" s="12">
        <f t="shared" si="2"/>
        <v>0</v>
      </c>
      <c r="U61" s="15" t="str">
        <f t="shared" si="3"/>
        <v>NA</v>
      </c>
    </row>
    <row r="62">
      <c r="A62" s="12"/>
      <c r="B62" s="13" t="str">
        <f>ModifiedAvg!A62</f>
        <v>blank18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>
        <f t="shared" si="1"/>
        <v>0</v>
      </c>
      <c r="T62" s="12">
        <f t="shared" si="2"/>
        <v>0</v>
      </c>
      <c r="U62" s="15" t="str">
        <f t="shared" si="3"/>
        <v>NA</v>
      </c>
    </row>
    <row r="63">
      <c r="A63" s="12"/>
      <c r="B63" s="13" t="str">
        <f>ModifiedAvg!A63</f>
        <v>blank19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>
        <f t="shared" si="1"/>
        <v>0</v>
      </c>
      <c r="T63" s="12">
        <f t="shared" si="2"/>
        <v>0</v>
      </c>
      <c r="U63" s="15" t="str">
        <f t="shared" si="3"/>
        <v>NA</v>
      </c>
    </row>
    <row r="64">
      <c r="A64" s="12"/>
      <c r="B64" s="13" t="str">
        <f>ModifiedAvg!A64</f>
        <v>blank20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>
        <f t="shared" si="1"/>
        <v>0</v>
      </c>
      <c r="T64" s="12">
        <f t="shared" si="2"/>
        <v>0</v>
      </c>
      <c r="U64" s="15" t="str">
        <f t="shared" si="3"/>
        <v>NA</v>
      </c>
    </row>
    <row r="65">
      <c r="A65" s="12"/>
      <c r="B65" s="13" t="str">
        <f>ModifiedAvg!A65</f>
        <v>blank21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>
        <f t="shared" si="1"/>
        <v>0</v>
      </c>
      <c r="T65" s="12">
        <f t="shared" si="2"/>
        <v>0</v>
      </c>
      <c r="U65" s="15" t="str">
        <f t="shared" si="3"/>
        <v>NA</v>
      </c>
    </row>
    <row r="66">
      <c r="A66" s="12"/>
      <c r="B66" s="16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5"/>
    </row>
    <row r="67">
      <c r="A67" s="12"/>
      <c r="B67" s="16" t="s">
        <v>27</v>
      </c>
      <c r="C67" s="15">
        <f t="shared" ref="C67:R67" si="4">if(sum(C4:C65)=0,"",AVERAGEIF(C4:C65,"&gt;0",C4:C65))</f>
        <v>42.92307692</v>
      </c>
      <c r="D67" s="15">
        <f t="shared" si="4"/>
        <v>45.36363636</v>
      </c>
      <c r="E67" s="15">
        <f t="shared" si="4"/>
        <v>43.5</v>
      </c>
      <c r="F67" s="15" t="str">
        <f t="shared" si="4"/>
        <v/>
      </c>
      <c r="G67" s="15" t="str">
        <f t="shared" si="4"/>
        <v/>
      </c>
      <c r="H67" s="15" t="str">
        <f t="shared" si="4"/>
        <v/>
      </c>
      <c r="I67" s="15" t="str">
        <f t="shared" si="4"/>
        <v/>
      </c>
      <c r="J67" s="15" t="str">
        <f t="shared" si="4"/>
        <v/>
      </c>
      <c r="K67" s="15" t="str">
        <f t="shared" si="4"/>
        <v/>
      </c>
      <c r="L67" s="15" t="str">
        <f t="shared" si="4"/>
        <v/>
      </c>
      <c r="M67" s="15" t="str">
        <f t="shared" si="4"/>
        <v/>
      </c>
      <c r="N67" s="15" t="str">
        <f t="shared" si="4"/>
        <v/>
      </c>
      <c r="O67" s="15" t="str">
        <f t="shared" si="4"/>
        <v/>
      </c>
      <c r="P67" s="15" t="str">
        <f t="shared" si="4"/>
        <v/>
      </c>
      <c r="Q67" s="15" t="str">
        <f t="shared" si="4"/>
        <v/>
      </c>
      <c r="R67" s="15" t="str">
        <f t="shared" si="4"/>
        <v/>
      </c>
      <c r="S67" s="12"/>
      <c r="T67" s="12"/>
      <c r="U67" s="15"/>
    </row>
    <row r="68">
      <c r="A68" s="12"/>
      <c r="B68" s="16" t="s">
        <v>28</v>
      </c>
      <c r="C68" s="12">
        <f t="shared" ref="C68:R68" si="5">count(C4:C65)</f>
        <v>13</v>
      </c>
      <c r="D68" s="12">
        <f t="shared" si="5"/>
        <v>11</v>
      </c>
      <c r="E68" s="12">
        <f t="shared" si="5"/>
        <v>12</v>
      </c>
      <c r="F68" s="12">
        <f t="shared" si="5"/>
        <v>0</v>
      </c>
      <c r="G68" s="12">
        <f t="shared" si="5"/>
        <v>0</v>
      </c>
      <c r="H68" s="12">
        <f t="shared" si="5"/>
        <v>0</v>
      </c>
      <c r="I68" s="12">
        <f t="shared" si="5"/>
        <v>0</v>
      </c>
      <c r="J68" s="12">
        <f t="shared" si="5"/>
        <v>0</v>
      </c>
      <c r="K68" s="12">
        <f t="shared" si="5"/>
        <v>0</v>
      </c>
      <c r="L68" s="12">
        <f t="shared" si="5"/>
        <v>0</v>
      </c>
      <c r="M68" s="12">
        <f t="shared" si="5"/>
        <v>0</v>
      </c>
      <c r="N68" s="12">
        <f t="shared" si="5"/>
        <v>0</v>
      </c>
      <c r="O68" s="12">
        <f t="shared" si="5"/>
        <v>0</v>
      </c>
      <c r="P68" s="12">
        <f t="shared" si="5"/>
        <v>0</v>
      </c>
      <c r="Q68" s="12">
        <f t="shared" si="5"/>
        <v>0</v>
      </c>
      <c r="R68" s="12">
        <f t="shared" si="5"/>
        <v>0</v>
      </c>
      <c r="S68" s="12"/>
      <c r="T68" s="12"/>
      <c r="U68" s="15"/>
    </row>
    <row r="69">
      <c r="A69" s="12"/>
      <c r="B69" s="16" t="s">
        <v>29</v>
      </c>
      <c r="C69" s="12">
        <f>C68-MoneyStandings!D4</f>
        <v>0</v>
      </c>
      <c r="D69" s="12">
        <f>D$68-MoneyStandings!$D5</f>
        <v>0</v>
      </c>
      <c r="E69" s="12">
        <f>E$68-MoneyStandings!$D6</f>
        <v>0</v>
      </c>
      <c r="F69" s="12">
        <f>F$68-MoneyStandings!$D7</f>
        <v>0</v>
      </c>
      <c r="G69" s="12">
        <f>G$68-MoneyStandings!$D8</f>
        <v>0</v>
      </c>
      <c r="H69" s="12">
        <f>H$68-MoneyStandings!$D9</f>
        <v>0</v>
      </c>
      <c r="I69" s="12">
        <f>I$68-MoneyStandings!$D10</f>
        <v>0</v>
      </c>
      <c r="J69" s="12">
        <f>J$68-MoneyStandings!$D11</f>
        <v>0</v>
      </c>
      <c r="K69" s="12">
        <f>K$68-MoneyStandings!$D12</f>
        <v>0</v>
      </c>
      <c r="L69" s="12">
        <f>L$68-MoneyStandings!$D13</f>
        <v>0</v>
      </c>
      <c r="M69" s="12">
        <f>M$68-MoneyStandings!$D14</f>
        <v>0</v>
      </c>
      <c r="N69" s="12">
        <f>N$68-MoneyStandings!$D15</f>
        <v>0</v>
      </c>
      <c r="O69" s="12">
        <f>O$68-MoneyStandings!$D16</f>
        <v>0</v>
      </c>
      <c r="P69" s="12">
        <f>P$68-MoneyStandings!$D17</f>
        <v>0</v>
      </c>
      <c r="Q69" s="12">
        <f>Q$68-MoneyStandings!$D18</f>
        <v>0</v>
      </c>
      <c r="R69" s="12">
        <f>R$68-MoneyStandings!$D19</f>
        <v>0</v>
      </c>
      <c r="S69" s="12"/>
      <c r="T69" s="12"/>
      <c r="U69" s="15"/>
    </row>
    <row r="70">
      <c r="A70" s="12"/>
      <c r="B70" s="16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5"/>
    </row>
    <row r="71">
      <c r="A71" s="12"/>
      <c r="B71" s="16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5"/>
    </row>
    <row r="72">
      <c r="A72" s="12"/>
      <c r="B72" s="16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5"/>
    </row>
    <row r="73">
      <c r="A73" s="12"/>
      <c r="B73" s="16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5"/>
    </row>
    <row r="74">
      <c r="A74" s="12"/>
      <c r="B74" s="16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5"/>
    </row>
    <row r="75">
      <c r="A75" s="12"/>
      <c r="B75" s="16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5"/>
    </row>
  </sheetData>
  <mergeCells count="2">
    <mergeCell ref="C1:R1"/>
    <mergeCell ref="C2:R2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5.38"/>
    <col customWidth="1" min="2" max="17" width="8.13"/>
  </cols>
  <sheetData>
    <row r="1">
      <c r="A1" s="17"/>
      <c r="B1" s="18" t="s">
        <v>30</v>
      </c>
    </row>
    <row r="2">
      <c r="A2" s="19"/>
      <c r="B2" s="20"/>
      <c r="C2" s="20"/>
      <c r="D2" s="20"/>
      <c r="E2" s="20"/>
      <c r="F2" s="21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>
      <c r="A3" s="13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3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  <c r="N3" s="22" t="s">
        <v>15</v>
      </c>
      <c r="O3" s="22" t="s">
        <v>16</v>
      </c>
      <c r="P3" s="22" t="s">
        <v>17</v>
      </c>
      <c r="Q3" s="22" t="s">
        <v>18</v>
      </c>
    </row>
    <row r="4">
      <c r="A4" s="13" t="str">
        <f>Actuals!B4</f>
        <v>Adrian C</v>
      </c>
      <c r="B4" s="24" t="str">
        <f>if(Actuals!C4 = "", "",Actuals!C4 + Strokes!B4)</f>
        <v/>
      </c>
      <c r="C4" s="24" t="str">
        <f>if(Actuals!D4 = "", "",Actuals!D4 + Strokes!C4)</f>
        <v/>
      </c>
      <c r="D4" s="24" t="str">
        <f>if(Actuals!E4 = "", "",Actuals!E4 + Strokes!D4)</f>
        <v/>
      </c>
      <c r="E4" s="24" t="str">
        <f>if(Actuals!F4 = "", "",Actuals!F4 + Strokes!E4)</f>
        <v/>
      </c>
      <c r="F4" s="24" t="str">
        <f>if(Actuals!G4 = "", "",Actuals!G4 + Strokes!F4)</f>
        <v/>
      </c>
      <c r="G4" s="24" t="str">
        <f>if(Actuals!H4 = "", "",Actuals!H4 + Strokes!G4)</f>
        <v/>
      </c>
      <c r="H4" s="24" t="str">
        <f>if(Actuals!I4 = "", "",Actuals!I4 + Strokes!H4)</f>
        <v/>
      </c>
      <c r="I4" s="24" t="str">
        <f>if(Actuals!J4 = "", "",Actuals!J4 + Strokes!I4)</f>
        <v/>
      </c>
      <c r="J4" s="24" t="str">
        <f>if(Actuals!K4 = "", "",Actuals!K4 + Strokes!J4)</f>
        <v/>
      </c>
      <c r="K4" s="24" t="str">
        <f>if(Actuals!L4 = "", "",Actuals!L4 + Strokes!K4)</f>
        <v/>
      </c>
      <c r="L4" s="24" t="str">
        <f>if(Actuals!M4 = "", "",Actuals!M4 + Strokes!L4)</f>
        <v/>
      </c>
      <c r="M4" s="24" t="str">
        <f>if(Actuals!N4 = "", "",Actuals!N4 + Strokes!M4)</f>
        <v/>
      </c>
      <c r="N4" s="24" t="str">
        <f>if(Actuals!O4 = "", "",Actuals!O4 + Strokes!N4)</f>
        <v/>
      </c>
      <c r="O4" s="24" t="str">
        <f>if(Actuals!P4 = "", "",Actuals!P4 + Strokes!O4)</f>
        <v/>
      </c>
      <c r="P4" s="24" t="str">
        <f>if(Actuals!Q4 = "", "",Actuals!Q4 + Strokes!P4)</f>
        <v/>
      </c>
      <c r="Q4" s="24" t="str">
        <f>if(Actuals!R4 = "", "",Actuals!R4 + Strokes!Q4)</f>
        <v/>
      </c>
    </row>
    <row r="5">
      <c r="A5" s="13" t="str">
        <f>Actuals!B5</f>
        <v>Alan D</v>
      </c>
      <c r="B5" s="24" t="str">
        <f>if(Actuals!C5 = "", "",Actuals!C5 + Strokes!B5)</f>
        <v/>
      </c>
      <c r="C5" s="24" t="str">
        <f>if(Actuals!D5 = "", "",Actuals!D5 + Strokes!C5)</f>
        <v/>
      </c>
      <c r="D5" s="24" t="str">
        <f>if(Actuals!E5 = "", "",Actuals!E5 + Strokes!D5)</f>
        <v/>
      </c>
      <c r="E5" s="24" t="str">
        <f>if(Actuals!F5 = "", "",Actuals!F5 + Strokes!E5)</f>
        <v/>
      </c>
      <c r="F5" s="24" t="str">
        <f>if(Actuals!G5 = "", "",Actuals!G5 + Strokes!F5)</f>
        <v/>
      </c>
      <c r="G5" s="24" t="str">
        <f>if(Actuals!H5 = "", "",Actuals!H5 + Strokes!G5)</f>
        <v/>
      </c>
      <c r="H5" s="24" t="str">
        <f>if(Actuals!I5 = "", "",Actuals!I5 + Strokes!H5)</f>
        <v/>
      </c>
      <c r="I5" s="24" t="str">
        <f>if(Actuals!J5 = "", "",Actuals!J5 + Strokes!I5)</f>
        <v/>
      </c>
      <c r="J5" s="24" t="str">
        <f>if(Actuals!K5 = "", "",Actuals!K5 + Strokes!J5)</f>
        <v/>
      </c>
      <c r="K5" s="24" t="str">
        <f>if(Actuals!L5 = "", "",Actuals!L5 + Strokes!K5)</f>
        <v/>
      </c>
      <c r="L5" s="24" t="str">
        <f>if(Actuals!M5 = "", "",Actuals!M5 + Strokes!L5)</f>
        <v/>
      </c>
      <c r="M5" s="24" t="str">
        <f>if(Actuals!N5 = "", "",Actuals!N5 + Strokes!M5)</f>
        <v/>
      </c>
      <c r="N5" s="24" t="str">
        <f>if(Actuals!O5 = "", "",Actuals!O5 + Strokes!N5)</f>
        <v/>
      </c>
      <c r="O5" s="24" t="str">
        <f>if(Actuals!P5 = "", "",Actuals!P5 + Strokes!O5)</f>
        <v/>
      </c>
      <c r="P5" s="24" t="str">
        <f>if(Actuals!Q5 = "", "",Actuals!Q5 + Strokes!P5)</f>
        <v/>
      </c>
      <c r="Q5" s="24" t="str">
        <f>if(Actuals!R5 = "", "",Actuals!R5 + Strokes!Q5)</f>
        <v/>
      </c>
    </row>
    <row r="6">
      <c r="A6" s="13" t="str">
        <f>Actuals!B6</f>
        <v>Baxter C</v>
      </c>
      <c r="B6" s="24" t="str">
        <f>if(Actuals!C6 = "", "",Actuals!C6 + Strokes!B6)</f>
        <v/>
      </c>
      <c r="C6" s="24" t="str">
        <f>if(Actuals!D6 = "", "",Actuals!D6 + Strokes!C6)</f>
        <v/>
      </c>
      <c r="D6" s="24" t="str">
        <f>if(Actuals!E6 = "", "",Actuals!E6 + Strokes!D6)</f>
        <v/>
      </c>
      <c r="E6" s="24" t="str">
        <f>if(Actuals!F6 = "", "",Actuals!F6 + Strokes!E6)</f>
        <v/>
      </c>
      <c r="F6" s="24" t="str">
        <f>if(Actuals!G6 = "", "",Actuals!G6 + Strokes!F6)</f>
        <v/>
      </c>
      <c r="G6" s="24" t="str">
        <f>if(Actuals!H6 = "", "",Actuals!H6 + Strokes!G6)</f>
        <v/>
      </c>
      <c r="H6" s="24" t="str">
        <f>if(Actuals!I6 = "", "",Actuals!I6 + Strokes!H6)</f>
        <v/>
      </c>
      <c r="I6" s="24" t="str">
        <f>if(Actuals!J6 = "", "",Actuals!J6 + Strokes!I6)</f>
        <v/>
      </c>
      <c r="J6" s="24" t="str">
        <f>if(Actuals!K6 = "", "",Actuals!K6 + Strokes!J6)</f>
        <v/>
      </c>
      <c r="K6" s="24" t="str">
        <f>if(Actuals!L6 = "", "",Actuals!L6 + Strokes!K6)</f>
        <v/>
      </c>
      <c r="L6" s="24" t="str">
        <f>if(Actuals!M6 = "", "",Actuals!M6 + Strokes!L6)</f>
        <v/>
      </c>
      <c r="M6" s="24" t="str">
        <f>if(Actuals!N6 = "", "",Actuals!N6 + Strokes!M6)</f>
        <v/>
      </c>
      <c r="N6" s="24" t="str">
        <f>if(Actuals!O6 = "", "",Actuals!O6 + Strokes!N6)</f>
        <v/>
      </c>
      <c r="O6" s="24" t="str">
        <f>if(Actuals!P6 = "", "",Actuals!P6 + Strokes!O6)</f>
        <v/>
      </c>
      <c r="P6" s="24" t="str">
        <f>if(Actuals!Q6 = "", "",Actuals!Q6 + Strokes!P6)</f>
        <v/>
      </c>
      <c r="Q6" s="24" t="str">
        <f>if(Actuals!R6 = "", "",Actuals!R6 + Strokes!Q6)</f>
        <v/>
      </c>
    </row>
    <row r="7">
      <c r="A7" s="13" t="str">
        <f>Actuals!B7</f>
        <v>Bill Morton</v>
      </c>
      <c r="B7" s="24" t="str">
        <f>if(Actuals!C7 = "", "",Actuals!C7 + Strokes!B7)</f>
        <v/>
      </c>
      <c r="C7" s="24" t="str">
        <f>if(Actuals!D7 = "", "",Actuals!D7 + Strokes!C7)</f>
        <v/>
      </c>
      <c r="D7" s="24" t="str">
        <f>if(Actuals!E7 = "", "",Actuals!E7 + Strokes!D7)</f>
        <v/>
      </c>
      <c r="E7" s="24" t="str">
        <f>if(Actuals!F7 = "", "",Actuals!F7 + Strokes!E7)</f>
        <v/>
      </c>
      <c r="F7" s="24" t="str">
        <f>if(Actuals!G7 = "", "",Actuals!G7 + Strokes!F7)</f>
        <v/>
      </c>
      <c r="G7" s="24" t="str">
        <f>if(Actuals!H7 = "", "",Actuals!H7 + Strokes!G7)</f>
        <v/>
      </c>
      <c r="H7" s="24" t="str">
        <f>if(Actuals!I7 = "", "",Actuals!I7 + Strokes!H7)</f>
        <v/>
      </c>
      <c r="I7" s="24" t="str">
        <f>if(Actuals!J7 = "", "",Actuals!J7 + Strokes!I7)</f>
        <v/>
      </c>
      <c r="J7" s="24" t="str">
        <f>if(Actuals!K7 = "", "",Actuals!K7 + Strokes!J7)</f>
        <v/>
      </c>
      <c r="K7" s="24" t="str">
        <f>if(Actuals!L7 = "", "",Actuals!L7 + Strokes!K7)</f>
        <v/>
      </c>
      <c r="L7" s="24" t="str">
        <f>if(Actuals!M7 = "", "",Actuals!M7 + Strokes!L7)</f>
        <v/>
      </c>
      <c r="M7" s="24" t="str">
        <f>if(Actuals!N7 = "", "",Actuals!N7 + Strokes!M7)</f>
        <v/>
      </c>
      <c r="N7" s="24" t="str">
        <f>if(Actuals!O7 = "", "",Actuals!O7 + Strokes!N7)</f>
        <v/>
      </c>
      <c r="O7" s="24" t="str">
        <f>if(Actuals!P7 = "", "",Actuals!P7 + Strokes!O7)</f>
        <v/>
      </c>
      <c r="P7" s="24" t="str">
        <f>if(Actuals!Q7 = "", "",Actuals!Q7 + Strokes!P7)</f>
        <v/>
      </c>
      <c r="Q7" s="24" t="str">
        <f>if(Actuals!R7 = "", "",Actuals!R7 + Strokes!Q7)</f>
        <v/>
      </c>
    </row>
    <row r="8">
      <c r="A8" s="13" t="str">
        <f>Actuals!B8</f>
        <v>Brian M</v>
      </c>
      <c r="B8" s="24">
        <f>if(Actuals!C8 = "", "",Actuals!C8 + Strokes!B8)</f>
        <v>32.7</v>
      </c>
      <c r="C8" s="24">
        <f>if(Actuals!D8 = "", "",Actuals!D8 + Strokes!C8)</f>
        <v>34.7</v>
      </c>
      <c r="D8" s="24">
        <f>if(Actuals!E8 = "", "",Actuals!E8 + Strokes!D8)</f>
        <v>37.6</v>
      </c>
      <c r="E8" s="24" t="str">
        <f>if(Actuals!F8 = "", "",Actuals!F8 + Strokes!E8)</f>
        <v/>
      </c>
      <c r="F8" s="24" t="str">
        <f>if(Actuals!G8 = "", "",Actuals!G8 + Strokes!F8)</f>
        <v/>
      </c>
      <c r="G8" s="24" t="str">
        <f>if(Actuals!H8 = "", "",Actuals!H8 + Strokes!G8)</f>
        <v/>
      </c>
      <c r="H8" s="24" t="str">
        <f>if(Actuals!I8 = "", "",Actuals!I8 + Strokes!H8)</f>
        <v/>
      </c>
      <c r="I8" s="24" t="str">
        <f>if(Actuals!J8 = "", "",Actuals!J8 + Strokes!I8)</f>
        <v/>
      </c>
      <c r="J8" s="24" t="str">
        <f>if(Actuals!K8 = "", "",Actuals!K8 + Strokes!J8)</f>
        <v/>
      </c>
      <c r="K8" s="24" t="str">
        <f>if(Actuals!L8 = "", "",Actuals!L8 + Strokes!K8)</f>
        <v/>
      </c>
      <c r="L8" s="24" t="str">
        <f>if(Actuals!M8 = "", "",Actuals!M8 + Strokes!L8)</f>
        <v/>
      </c>
      <c r="M8" s="24" t="str">
        <f>if(Actuals!N8 = "", "",Actuals!N8 + Strokes!M8)</f>
        <v/>
      </c>
      <c r="N8" s="24" t="str">
        <f>if(Actuals!O8 = "", "",Actuals!O8 + Strokes!N8)</f>
        <v/>
      </c>
      <c r="O8" s="24" t="str">
        <f>if(Actuals!P8 = "", "",Actuals!P8 + Strokes!O8)</f>
        <v/>
      </c>
      <c r="P8" s="24" t="str">
        <f>if(Actuals!Q8 = "", "",Actuals!Q8 + Strokes!P8)</f>
        <v/>
      </c>
      <c r="Q8" s="24" t="str">
        <f>if(Actuals!R8 = "", "",Actuals!R8 + Strokes!Q8)</f>
        <v/>
      </c>
    </row>
    <row r="9">
      <c r="A9" s="13" t="str">
        <f>Actuals!B9</f>
        <v>Bruce Marburger</v>
      </c>
      <c r="B9" s="24">
        <f>if(Actuals!C9 = "", "",Actuals!C9 + Strokes!B9)</f>
        <v>38.1</v>
      </c>
      <c r="C9" s="24" t="str">
        <f>if(Actuals!D9 = "", "",Actuals!D9 + Strokes!C9)</f>
        <v/>
      </c>
      <c r="D9" s="24" t="str">
        <f>if(Actuals!E9 = "", "",Actuals!E9 + Strokes!D9)</f>
        <v/>
      </c>
      <c r="E9" s="24" t="str">
        <f>if(Actuals!F9 = "", "",Actuals!F9 + Strokes!E9)</f>
        <v/>
      </c>
      <c r="F9" s="24" t="str">
        <f>if(Actuals!G9 = "", "",Actuals!G9 + Strokes!F9)</f>
        <v/>
      </c>
      <c r="G9" s="24" t="str">
        <f>if(Actuals!H9 = "", "",Actuals!H9 + Strokes!G9)</f>
        <v/>
      </c>
      <c r="H9" s="24" t="str">
        <f>if(Actuals!I9 = "", "",Actuals!I9 + Strokes!H9)</f>
        <v/>
      </c>
      <c r="I9" s="24" t="str">
        <f>if(Actuals!J9 = "", "",Actuals!J9 + Strokes!I9)</f>
        <v/>
      </c>
      <c r="J9" s="24" t="str">
        <f>if(Actuals!K9 = "", "",Actuals!K9 + Strokes!J9)</f>
        <v/>
      </c>
      <c r="K9" s="24" t="str">
        <f>if(Actuals!L9 = "", "",Actuals!L9 + Strokes!K9)</f>
        <v/>
      </c>
      <c r="L9" s="24" t="str">
        <f>if(Actuals!M9 = "", "",Actuals!M9 + Strokes!L9)</f>
        <v/>
      </c>
      <c r="M9" s="24" t="str">
        <f>if(Actuals!N9 = "", "",Actuals!N9 + Strokes!M9)</f>
        <v/>
      </c>
      <c r="N9" s="24" t="str">
        <f>if(Actuals!O9 = "", "",Actuals!O9 + Strokes!N9)</f>
        <v/>
      </c>
      <c r="O9" s="24" t="str">
        <f>if(Actuals!P9 = "", "",Actuals!P9 + Strokes!O9)</f>
        <v/>
      </c>
      <c r="P9" s="24" t="str">
        <f>if(Actuals!Q9 = "", "",Actuals!Q9 + Strokes!P9)</f>
        <v/>
      </c>
      <c r="Q9" s="24" t="str">
        <f>if(Actuals!R9 = "", "",Actuals!R9 + Strokes!Q9)</f>
        <v/>
      </c>
    </row>
    <row r="10">
      <c r="A10" s="13" t="str">
        <f>Actuals!B10</f>
        <v>Cole L</v>
      </c>
      <c r="B10" s="24" t="str">
        <f>if(Actuals!C10 = "", "",Actuals!C10 + Strokes!B10)</f>
        <v/>
      </c>
      <c r="C10" s="24" t="str">
        <f>if(Actuals!D10 = "", "",Actuals!D10 + Strokes!C10)</f>
        <v/>
      </c>
      <c r="D10" s="24" t="str">
        <f>if(Actuals!E10 = "", "",Actuals!E10 + Strokes!D10)</f>
        <v/>
      </c>
      <c r="E10" s="24" t="str">
        <f>if(Actuals!F10 = "", "",Actuals!F10 + Strokes!E10)</f>
        <v/>
      </c>
      <c r="F10" s="24" t="str">
        <f>if(Actuals!G10 = "", "",Actuals!G10 + Strokes!F10)</f>
        <v/>
      </c>
      <c r="G10" s="24" t="str">
        <f>if(Actuals!H10 = "", "",Actuals!H10 + Strokes!G10)</f>
        <v/>
      </c>
      <c r="H10" s="24" t="str">
        <f>if(Actuals!I10 = "", "",Actuals!I10 + Strokes!H10)</f>
        <v/>
      </c>
      <c r="I10" s="24" t="str">
        <f>if(Actuals!J10 = "", "",Actuals!J10 + Strokes!I10)</f>
        <v/>
      </c>
      <c r="J10" s="24" t="str">
        <f>if(Actuals!K10 = "", "",Actuals!K10 + Strokes!J10)</f>
        <v/>
      </c>
      <c r="K10" s="24" t="str">
        <f>if(Actuals!L10 = "", "",Actuals!L10 + Strokes!K10)</f>
        <v/>
      </c>
      <c r="L10" s="24" t="str">
        <f>if(Actuals!M10 = "", "",Actuals!M10 + Strokes!L10)</f>
        <v/>
      </c>
      <c r="M10" s="24" t="str">
        <f>if(Actuals!N10 = "", "",Actuals!N10 + Strokes!M10)</f>
        <v/>
      </c>
      <c r="N10" s="24" t="str">
        <f>if(Actuals!O10 = "", "",Actuals!O10 + Strokes!N10)</f>
        <v/>
      </c>
      <c r="O10" s="24" t="str">
        <f>if(Actuals!P10 = "", "",Actuals!P10 + Strokes!O10)</f>
        <v/>
      </c>
      <c r="P10" s="24" t="str">
        <f>if(Actuals!Q10 = "", "",Actuals!Q10 + Strokes!P10)</f>
        <v/>
      </c>
      <c r="Q10" s="24" t="str">
        <f>if(Actuals!R10 = "", "",Actuals!R10 + Strokes!Q10)</f>
        <v/>
      </c>
    </row>
    <row r="11">
      <c r="A11" s="13" t="str">
        <f>Actuals!B11</f>
        <v>Danny C</v>
      </c>
      <c r="B11" s="24" t="str">
        <f>if(Actuals!C11 = "", "",Actuals!C11 + Strokes!B11)</f>
        <v/>
      </c>
      <c r="C11" s="24" t="str">
        <f>if(Actuals!D11 = "", "",Actuals!D11 + Strokes!C11)</f>
        <v/>
      </c>
      <c r="D11" s="24" t="str">
        <f>if(Actuals!E11 = "", "",Actuals!E11 + Strokes!D11)</f>
        <v/>
      </c>
      <c r="E11" s="24" t="str">
        <f>if(Actuals!F11 = "", "",Actuals!F11 + Strokes!E11)</f>
        <v/>
      </c>
      <c r="F11" s="24" t="str">
        <f>if(Actuals!G11 = "", "",Actuals!G11 + Strokes!F11)</f>
        <v/>
      </c>
      <c r="G11" s="24" t="str">
        <f>if(Actuals!H11 = "", "",Actuals!H11 + Strokes!G11)</f>
        <v/>
      </c>
      <c r="H11" s="24" t="str">
        <f>if(Actuals!I11 = "", "",Actuals!I11 + Strokes!H11)</f>
        <v/>
      </c>
      <c r="I11" s="24" t="str">
        <f>if(Actuals!J11 = "", "",Actuals!J11 + Strokes!I11)</f>
        <v/>
      </c>
      <c r="J11" s="24" t="str">
        <f>if(Actuals!K11 = "", "",Actuals!K11 + Strokes!J11)</f>
        <v/>
      </c>
      <c r="K11" s="24" t="str">
        <f>if(Actuals!L11 = "", "",Actuals!L11 + Strokes!K11)</f>
        <v/>
      </c>
      <c r="L11" s="24" t="str">
        <f>if(Actuals!M11 = "", "",Actuals!M11 + Strokes!L11)</f>
        <v/>
      </c>
      <c r="M11" s="24" t="str">
        <f>if(Actuals!N11 = "", "",Actuals!N11 + Strokes!M11)</f>
        <v/>
      </c>
      <c r="N11" s="24" t="str">
        <f>if(Actuals!O11 = "", "",Actuals!O11 + Strokes!N11)</f>
        <v/>
      </c>
      <c r="O11" s="24" t="str">
        <f>if(Actuals!P11 = "", "",Actuals!P11 + Strokes!O11)</f>
        <v/>
      </c>
      <c r="P11" s="24" t="str">
        <f>if(Actuals!Q11 = "", "",Actuals!Q11 + Strokes!P11)</f>
        <v/>
      </c>
      <c r="Q11" s="24" t="str">
        <f>if(Actuals!R11 = "", "",Actuals!R11 + Strokes!Q11)</f>
        <v/>
      </c>
    </row>
    <row r="12">
      <c r="A12" s="13" t="str">
        <f>Actuals!B12</f>
        <v>Eddie G</v>
      </c>
      <c r="B12" s="24" t="str">
        <f>if(Actuals!C12 = "", "",Actuals!C12 + Strokes!B12)</f>
        <v/>
      </c>
      <c r="C12" s="24" t="str">
        <f>if(Actuals!D12 = "", "",Actuals!D12 + Strokes!C12)</f>
        <v/>
      </c>
      <c r="D12" s="24">
        <f>if(Actuals!E12 = "", "",Actuals!E12 + Strokes!D12)</f>
        <v>44.5</v>
      </c>
      <c r="E12" s="24" t="str">
        <f>if(Actuals!F12 = "", "",Actuals!F12 + Strokes!E12)</f>
        <v/>
      </c>
      <c r="F12" s="24" t="str">
        <f>if(Actuals!G12 = "", "",Actuals!G12 + Strokes!F12)</f>
        <v/>
      </c>
      <c r="G12" s="24" t="str">
        <f>if(Actuals!H12 = "", "",Actuals!H12 + Strokes!G12)</f>
        <v/>
      </c>
      <c r="H12" s="24" t="str">
        <f>if(Actuals!I12 = "", "",Actuals!I12 + Strokes!H12)</f>
        <v/>
      </c>
      <c r="I12" s="24" t="str">
        <f>if(Actuals!J12 = "", "",Actuals!J12 + Strokes!I12)</f>
        <v/>
      </c>
      <c r="J12" s="24" t="str">
        <f>if(Actuals!K12 = "", "",Actuals!K12 + Strokes!J12)</f>
        <v/>
      </c>
      <c r="K12" s="24" t="str">
        <f>if(Actuals!L12 = "", "",Actuals!L12 + Strokes!K12)</f>
        <v/>
      </c>
      <c r="L12" s="24" t="str">
        <f>if(Actuals!M12 = "", "",Actuals!M12 + Strokes!L12)</f>
        <v/>
      </c>
      <c r="M12" s="24" t="str">
        <f>if(Actuals!N12 = "", "",Actuals!N12 + Strokes!M12)</f>
        <v/>
      </c>
      <c r="N12" s="24" t="str">
        <f>if(Actuals!O12 = "", "",Actuals!O12 + Strokes!N12)</f>
        <v/>
      </c>
      <c r="O12" s="24" t="str">
        <f>if(Actuals!P12 = "", "",Actuals!P12 + Strokes!O12)</f>
        <v/>
      </c>
      <c r="P12" s="24" t="str">
        <f>if(Actuals!Q12 = "", "",Actuals!Q12 + Strokes!P12)</f>
        <v/>
      </c>
      <c r="Q12" s="24" t="str">
        <f>if(Actuals!R12 = "", "",Actuals!R12 + Strokes!Q12)</f>
        <v/>
      </c>
    </row>
    <row r="13">
      <c r="A13" s="13" t="str">
        <f>Actuals!B13</f>
        <v>Grant G</v>
      </c>
      <c r="B13" s="24" t="str">
        <f>if(Actuals!C13 = "", "",Actuals!C13 + Strokes!B13)</f>
        <v/>
      </c>
      <c r="C13" s="24" t="str">
        <f>if(Actuals!D13 = "", "",Actuals!D13 + Strokes!C13)</f>
        <v/>
      </c>
      <c r="D13" s="24" t="str">
        <f>if(Actuals!E13 = "", "",Actuals!E13 + Strokes!D13)</f>
        <v/>
      </c>
      <c r="E13" s="24" t="str">
        <f>if(Actuals!F13 = "", "",Actuals!F13 + Strokes!E13)</f>
        <v/>
      </c>
      <c r="F13" s="24" t="str">
        <f>if(Actuals!G13 = "", "",Actuals!G13 + Strokes!F13)</f>
        <v/>
      </c>
      <c r="G13" s="24" t="str">
        <f>if(Actuals!H13 = "", "",Actuals!H13 + Strokes!G13)</f>
        <v/>
      </c>
      <c r="H13" s="24" t="str">
        <f>if(Actuals!I13 = "", "",Actuals!I13 + Strokes!H13)</f>
        <v/>
      </c>
      <c r="I13" s="24" t="str">
        <f>if(Actuals!J13 = "", "",Actuals!J13 + Strokes!I13)</f>
        <v/>
      </c>
      <c r="J13" s="24" t="str">
        <f>if(Actuals!K13 = "", "",Actuals!K13 + Strokes!J13)</f>
        <v/>
      </c>
      <c r="K13" s="24" t="str">
        <f>if(Actuals!L13 = "", "",Actuals!L13 + Strokes!K13)</f>
        <v/>
      </c>
      <c r="L13" s="24" t="str">
        <f>if(Actuals!M13 = "", "",Actuals!M13 + Strokes!L13)</f>
        <v/>
      </c>
      <c r="M13" s="24" t="str">
        <f>if(Actuals!N13 = "", "",Actuals!N13 + Strokes!M13)</f>
        <v/>
      </c>
      <c r="N13" s="24" t="str">
        <f>if(Actuals!O13 = "", "",Actuals!O13 + Strokes!N13)</f>
        <v/>
      </c>
      <c r="O13" s="24" t="str">
        <f>if(Actuals!P13 = "", "",Actuals!P13 + Strokes!O13)</f>
        <v/>
      </c>
      <c r="P13" s="24" t="str">
        <f>if(Actuals!Q13 = "", "",Actuals!Q13 + Strokes!P13)</f>
        <v/>
      </c>
      <c r="Q13" s="24" t="str">
        <f>if(Actuals!R13 = "", "",Actuals!R13 + Strokes!Q13)</f>
        <v/>
      </c>
    </row>
    <row r="14">
      <c r="A14" s="13" t="str">
        <f>Actuals!B14</f>
        <v>Jeff H</v>
      </c>
      <c r="B14" s="24" t="str">
        <f>if(Actuals!C14 = "", "",Actuals!C14 + Strokes!B14)</f>
        <v/>
      </c>
      <c r="C14" s="24" t="str">
        <f>if(Actuals!D14 = "", "",Actuals!D14 + Strokes!C14)</f>
        <v/>
      </c>
      <c r="D14" s="24" t="str">
        <f>if(Actuals!E14 = "", "",Actuals!E14 + Strokes!D14)</f>
        <v/>
      </c>
      <c r="E14" s="24" t="str">
        <f>if(Actuals!F14 = "", "",Actuals!F14 + Strokes!E14)</f>
        <v/>
      </c>
      <c r="F14" s="24" t="str">
        <f>if(Actuals!G14 = "", "",Actuals!G14 + Strokes!F14)</f>
        <v/>
      </c>
      <c r="G14" s="24" t="str">
        <f>if(Actuals!H14 = "", "",Actuals!H14 + Strokes!G14)</f>
        <v/>
      </c>
      <c r="H14" s="24" t="str">
        <f>if(Actuals!I14 = "", "",Actuals!I14 + Strokes!H14)</f>
        <v/>
      </c>
      <c r="I14" s="24" t="str">
        <f>if(Actuals!J14 = "", "",Actuals!J14 + Strokes!I14)</f>
        <v/>
      </c>
      <c r="J14" s="24" t="str">
        <f>if(Actuals!K14 = "", "",Actuals!K14 + Strokes!J14)</f>
        <v/>
      </c>
      <c r="K14" s="24" t="str">
        <f>if(Actuals!L14 = "", "",Actuals!L14 + Strokes!K14)</f>
        <v/>
      </c>
      <c r="L14" s="24" t="str">
        <f>if(Actuals!M14 = "", "",Actuals!M14 + Strokes!L14)</f>
        <v/>
      </c>
      <c r="M14" s="24" t="str">
        <f>if(Actuals!N14 = "", "",Actuals!N14 + Strokes!M14)</f>
        <v/>
      </c>
      <c r="N14" s="24" t="str">
        <f>if(Actuals!O14 = "", "",Actuals!O14 + Strokes!N14)</f>
        <v/>
      </c>
      <c r="O14" s="24" t="str">
        <f>if(Actuals!P14 = "", "",Actuals!P14 + Strokes!O14)</f>
        <v/>
      </c>
      <c r="P14" s="24" t="str">
        <f>if(Actuals!Q14 = "", "",Actuals!Q14 + Strokes!P14)</f>
        <v/>
      </c>
      <c r="Q14" s="24" t="str">
        <f>if(Actuals!R14 = "", "",Actuals!R14 + Strokes!Q14)</f>
        <v/>
      </c>
    </row>
    <row r="15">
      <c r="A15" s="13" t="str">
        <f>Actuals!B15</f>
        <v>Jenna T</v>
      </c>
      <c r="B15" s="24" t="str">
        <f>if(Actuals!C15 = "", "",Actuals!C15 + Strokes!B15)</f>
        <v/>
      </c>
      <c r="C15" s="24" t="str">
        <f>if(Actuals!D15 = "", "",Actuals!D15 + Strokes!C15)</f>
        <v/>
      </c>
      <c r="D15" s="24" t="str">
        <f>if(Actuals!E15 = "", "",Actuals!E15 + Strokes!D15)</f>
        <v/>
      </c>
      <c r="E15" s="24" t="str">
        <f>if(Actuals!F15 = "", "",Actuals!F15 + Strokes!E15)</f>
        <v/>
      </c>
      <c r="F15" s="24" t="str">
        <f>if(Actuals!G15 = "", "",Actuals!G15 + Strokes!F15)</f>
        <v/>
      </c>
      <c r="G15" s="24" t="str">
        <f>if(Actuals!H15 = "", "",Actuals!H15 + Strokes!G15)</f>
        <v/>
      </c>
      <c r="H15" s="24" t="str">
        <f>if(Actuals!I15 = "", "",Actuals!I15 + Strokes!H15)</f>
        <v/>
      </c>
      <c r="I15" s="24" t="str">
        <f>if(Actuals!J15 = "", "",Actuals!J15 + Strokes!I15)</f>
        <v/>
      </c>
      <c r="J15" s="24" t="str">
        <f>if(Actuals!K15 = "", "",Actuals!K15 + Strokes!J15)</f>
        <v/>
      </c>
      <c r="K15" s="24" t="str">
        <f>if(Actuals!L15 = "", "",Actuals!L15 + Strokes!K15)</f>
        <v/>
      </c>
      <c r="L15" s="24" t="str">
        <f>if(Actuals!M15 = "", "",Actuals!M15 + Strokes!L15)</f>
        <v/>
      </c>
      <c r="M15" s="24" t="str">
        <f>if(Actuals!N15 = "", "",Actuals!N15 + Strokes!M15)</f>
        <v/>
      </c>
      <c r="N15" s="24" t="str">
        <f>if(Actuals!O15 = "", "",Actuals!O15 + Strokes!N15)</f>
        <v/>
      </c>
      <c r="O15" s="24" t="str">
        <f>if(Actuals!P15 = "", "",Actuals!P15 + Strokes!O15)</f>
        <v/>
      </c>
      <c r="P15" s="24" t="str">
        <f>if(Actuals!Q15 = "", "",Actuals!Q15 + Strokes!P15)</f>
        <v/>
      </c>
      <c r="Q15" s="24" t="str">
        <f>if(Actuals!R15 = "", "",Actuals!R15 + Strokes!Q15)</f>
        <v/>
      </c>
    </row>
    <row r="16">
      <c r="A16" s="13" t="str">
        <f>Actuals!B16</f>
        <v>Jeremy H</v>
      </c>
      <c r="B16" s="24" t="str">
        <f>if(Actuals!C16 = "", "",Actuals!C16 + Strokes!B16)</f>
        <v/>
      </c>
      <c r="C16" s="24" t="str">
        <f>if(Actuals!D16 = "", "",Actuals!D16 + Strokes!C16)</f>
        <v/>
      </c>
      <c r="D16" s="24" t="str">
        <f>if(Actuals!E16 = "", "",Actuals!E16 + Strokes!D16)</f>
        <v/>
      </c>
      <c r="E16" s="24" t="str">
        <f>if(Actuals!F16 = "", "",Actuals!F16 + Strokes!E16)</f>
        <v/>
      </c>
      <c r="F16" s="24" t="str">
        <f>if(Actuals!G16 = "", "",Actuals!G16 + Strokes!F16)</f>
        <v/>
      </c>
      <c r="G16" s="24" t="str">
        <f>if(Actuals!H16 = "", "",Actuals!H16 + Strokes!G16)</f>
        <v/>
      </c>
      <c r="H16" s="24" t="str">
        <f>if(Actuals!I16 = "", "",Actuals!I16 + Strokes!H16)</f>
        <v/>
      </c>
      <c r="I16" s="24" t="str">
        <f>if(Actuals!J16 = "", "",Actuals!J16 + Strokes!I16)</f>
        <v/>
      </c>
      <c r="J16" s="24" t="str">
        <f>if(Actuals!K16 = "", "",Actuals!K16 + Strokes!J16)</f>
        <v/>
      </c>
      <c r="K16" s="24" t="str">
        <f>if(Actuals!L16 = "", "",Actuals!L16 + Strokes!K16)</f>
        <v/>
      </c>
      <c r="L16" s="24" t="str">
        <f>if(Actuals!M16 = "", "",Actuals!M16 + Strokes!L16)</f>
        <v/>
      </c>
      <c r="M16" s="24" t="str">
        <f>if(Actuals!N16 = "", "",Actuals!N16 + Strokes!M16)</f>
        <v/>
      </c>
      <c r="N16" s="24" t="str">
        <f>if(Actuals!O16 = "", "",Actuals!O16 + Strokes!N16)</f>
        <v/>
      </c>
      <c r="O16" s="24" t="str">
        <f>if(Actuals!P16 = "", "",Actuals!P16 + Strokes!O16)</f>
        <v/>
      </c>
      <c r="P16" s="24" t="str">
        <f>if(Actuals!Q16 = "", "",Actuals!Q16 + Strokes!P16)</f>
        <v/>
      </c>
      <c r="Q16" s="24" t="str">
        <f>if(Actuals!R16 = "", "",Actuals!R16 + Strokes!Q16)</f>
        <v/>
      </c>
    </row>
    <row r="17">
      <c r="A17" s="13" t="str">
        <f>Actuals!B17</f>
        <v>Jeremy S</v>
      </c>
      <c r="B17" s="24" t="str">
        <f>if(Actuals!C17 = "", "",Actuals!C17 + Strokes!B17)</f>
        <v/>
      </c>
      <c r="C17" s="24" t="str">
        <f>if(Actuals!D17 = "", "",Actuals!D17 + Strokes!C17)</f>
        <v/>
      </c>
      <c r="D17" s="24" t="str">
        <f>if(Actuals!E17 = "", "",Actuals!E17 + Strokes!D17)</f>
        <v/>
      </c>
      <c r="E17" s="24" t="str">
        <f>if(Actuals!F17 = "", "",Actuals!F17 + Strokes!E17)</f>
        <v/>
      </c>
      <c r="F17" s="24" t="str">
        <f>if(Actuals!G17 = "", "",Actuals!G17 + Strokes!F17)</f>
        <v/>
      </c>
      <c r="G17" s="24" t="str">
        <f>if(Actuals!H17 = "", "",Actuals!H17 + Strokes!G17)</f>
        <v/>
      </c>
      <c r="H17" s="24" t="str">
        <f>if(Actuals!I17 = "", "",Actuals!I17 + Strokes!H17)</f>
        <v/>
      </c>
      <c r="I17" s="24" t="str">
        <f>if(Actuals!J17 = "", "",Actuals!J17 + Strokes!I17)</f>
        <v/>
      </c>
      <c r="J17" s="24" t="str">
        <f>if(Actuals!K17 = "", "",Actuals!K17 + Strokes!J17)</f>
        <v/>
      </c>
      <c r="K17" s="24" t="str">
        <f>if(Actuals!L17 = "", "",Actuals!L17 + Strokes!K17)</f>
        <v/>
      </c>
      <c r="L17" s="24" t="str">
        <f>if(Actuals!M17 = "", "",Actuals!M17 + Strokes!L17)</f>
        <v/>
      </c>
      <c r="M17" s="24" t="str">
        <f>if(Actuals!N17 = "", "",Actuals!N17 + Strokes!M17)</f>
        <v/>
      </c>
      <c r="N17" s="24" t="str">
        <f>if(Actuals!O17 = "", "",Actuals!O17 + Strokes!N17)</f>
        <v/>
      </c>
      <c r="O17" s="24" t="str">
        <f>if(Actuals!P17 = "", "",Actuals!P17 + Strokes!O17)</f>
        <v/>
      </c>
      <c r="P17" s="24" t="str">
        <f>if(Actuals!Q17 = "", "",Actuals!Q17 + Strokes!P17)</f>
        <v/>
      </c>
      <c r="Q17" s="24" t="str">
        <f>if(Actuals!R17 = "", "",Actuals!R17 + Strokes!Q17)</f>
        <v/>
      </c>
    </row>
    <row r="18">
      <c r="A18" s="13" t="str">
        <f>Actuals!B18</f>
        <v>Jon L</v>
      </c>
      <c r="B18" s="24">
        <f>if(Actuals!C18 = "", "",Actuals!C18 + Strokes!B18)</f>
        <v>40.5</v>
      </c>
      <c r="C18" s="24">
        <f>if(Actuals!D18 = "", "",Actuals!D18 + Strokes!C18)</f>
        <v>35.7</v>
      </c>
      <c r="D18" s="24">
        <f>if(Actuals!E18 = "", "",Actuals!E18 + Strokes!D18)</f>
        <v>37.6</v>
      </c>
      <c r="E18" s="24" t="str">
        <f>if(Actuals!F18 = "", "",Actuals!F18 + Strokes!E18)</f>
        <v/>
      </c>
      <c r="F18" s="24" t="str">
        <f>if(Actuals!G18 = "", "",Actuals!G18 + Strokes!F18)</f>
        <v/>
      </c>
      <c r="G18" s="24" t="str">
        <f>if(Actuals!H18 = "", "",Actuals!H18 + Strokes!G18)</f>
        <v/>
      </c>
      <c r="H18" s="24" t="str">
        <f>if(Actuals!I18 = "", "",Actuals!I18 + Strokes!H18)</f>
        <v/>
      </c>
      <c r="I18" s="24" t="str">
        <f>if(Actuals!J18 = "", "",Actuals!J18 + Strokes!I18)</f>
        <v/>
      </c>
      <c r="J18" s="24" t="str">
        <f>if(Actuals!K18 = "", "",Actuals!K18 + Strokes!J18)</f>
        <v/>
      </c>
      <c r="K18" s="24" t="str">
        <f>if(Actuals!L18 = "", "",Actuals!L18 + Strokes!K18)</f>
        <v/>
      </c>
      <c r="L18" s="24" t="str">
        <f>if(Actuals!M18 = "", "",Actuals!M18 + Strokes!L18)</f>
        <v/>
      </c>
      <c r="M18" s="24" t="str">
        <f>if(Actuals!N18 = "", "",Actuals!N18 + Strokes!M18)</f>
        <v/>
      </c>
      <c r="N18" s="24" t="str">
        <f>if(Actuals!O18 = "", "",Actuals!O18 + Strokes!N18)</f>
        <v/>
      </c>
      <c r="O18" s="24" t="str">
        <f>if(Actuals!P18 = "", "",Actuals!P18 + Strokes!O18)</f>
        <v/>
      </c>
      <c r="P18" s="24" t="str">
        <f>if(Actuals!Q18 = "", "",Actuals!Q18 + Strokes!P18)</f>
        <v/>
      </c>
      <c r="Q18" s="24" t="str">
        <f>if(Actuals!R18 = "", "",Actuals!R18 + Strokes!Q18)</f>
        <v/>
      </c>
    </row>
    <row r="19">
      <c r="A19" s="13" t="str">
        <f>Actuals!B19</f>
        <v>Jonah R</v>
      </c>
      <c r="B19" s="24" t="str">
        <f>if(Actuals!C19 = "", "",Actuals!C19 + Strokes!B19)</f>
        <v/>
      </c>
      <c r="C19" s="24">
        <f>if(Actuals!D19 = "", "",Actuals!D19 + Strokes!C19)</f>
        <v>37.2</v>
      </c>
      <c r="D19" s="24" t="str">
        <f>if(Actuals!E19 = "", "",Actuals!E19 + Strokes!D19)</f>
        <v/>
      </c>
      <c r="E19" s="24" t="str">
        <f>if(Actuals!F19 = "", "",Actuals!F19 + Strokes!E19)</f>
        <v/>
      </c>
      <c r="F19" s="24" t="str">
        <f>if(Actuals!G19 = "", "",Actuals!G19 + Strokes!F19)</f>
        <v/>
      </c>
      <c r="G19" s="24" t="str">
        <f>if(Actuals!H19 = "", "",Actuals!H19 + Strokes!G19)</f>
        <v/>
      </c>
      <c r="H19" s="24" t="str">
        <f>if(Actuals!I19 = "", "",Actuals!I19 + Strokes!H19)</f>
        <v/>
      </c>
      <c r="I19" s="24" t="str">
        <f>if(Actuals!J19 = "", "",Actuals!J19 + Strokes!I19)</f>
        <v/>
      </c>
      <c r="J19" s="24" t="str">
        <f>if(Actuals!K19 = "", "",Actuals!K19 + Strokes!J19)</f>
        <v/>
      </c>
      <c r="K19" s="24" t="str">
        <f>if(Actuals!L19 = "", "",Actuals!L19 + Strokes!K19)</f>
        <v/>
      </c>
      <c r="L19" s="24" t="str">
        <f>if(Actuals!M19 = "", "",Actuals!M19 + Strokes!L19)</f>
        <v/>
      </c>
      <c r="M19" s="24" t="str">
        <f>if(Actuals!N19 = "", "",Actuals!N19 + Strokes!M19)</f>
        <v/>
      </c>
      <c r="N19" s="24" t="str">
        <f>if(Actuals!O19 = "", "",Actuals!O19 + Strokes!N19)</f>
        <v/>
      </c>
      <c r="O19" s="24" t="str">
        <f>if(Actuals!P19 = "", "",Actuals!P19 + Strokes!O19)</f>
        <v/>
      </c>
      <c r="P19" s="24" t="str">
        <f>if(Actuals!Q19 = "", "",Actuals!Q19 + Strokes!P19)</f>
        <v/>
      </c>
      <c r="Q19" s="24" t="str">
        <f>if(Actuals!R19 = "", "",Actuals!R19 + Strokes!Q19)</f>
        <v/>
      </c>
    </row>
    <row r="20">
      <c r="A20" s="13" t="str">
        <f>Actuals!B20</f>
        <v>Jordan V</v>
      </c>
      <c r="B20" s="24" t="str">
        <f>if(Actuals!C20 = "", "",Actuals!C20 + Strokes!B20)</f>
        <v/>
      </c>
      <c r="C20" s="24" t="str">
        <f>if(Actuals!D20 = "", "",Actuals!D20 + Strokes!C20)</f>
        <v/>
      </c>
      <c r="D20" s="24" t="str">
        <f>if(Actuals!E20 = "", "",Actuals!E20 + Strokes!D20)</f>
        <v/>
      </c>
      <c r="E20" s="24" t="str">
        <f>if(Actuals!F20 = "", "",Actuals!F20 + Strokes!E20)</f>
        <v/>
      </c>
      <c r="F20" s="24" t="str">
        <f>if(Actuals!G20 = "", "",Actuals!G20 + Strokes!F20)</f>
        <v/>
      </c>
      <c r="G20" s="24" t="str">
        <f>if(Actuals!H20 = "", "",Actuals!H20 + Strokes!G20)</f>
        <v/>
      </c>
      <c r="H20" s="24" t="str">
        <f>if(Actuals!I20 = "", "",Actuals!I20 + Strokes!H20)</f>
        <v/>
      </c>
      <c r="I20" s="24" t="str">
        <f>if(Actuals!J20 = "", "",Actuals!J20 + Strokes!I20)</f>
        <v/>
      </c>
      <c r="J20" s="24" t="str">
        <f>if(Actuals!K20 = "", "",Actuals!K20 + Strokes!J20)</f>
        <v/>
      </c>
      <c r="K20" s="24" t="str">
        <f>if(Actuals!L20 = "", "",Actuals!L20 + Strokes!K20)</f>
        <v/>
      </c>
      <c r="L20" s="24" t="str">
        <f>if(Actuals!M20 = "", "",Actuals!M20 + Strokes!L20)</f>
        <v/>
      </c>
      <c r="M20" s="24" t="str">
        <f>if(Actuals!N20 = "", "",Actuals!N20 + Strokes!M20)</f>
        <v/>
      </c>
      <c r="N20" s="24" t="str">
        <f>if(Actuals!O20 = "", "",Actuals!O20 + Strokes!N20)</f>
        <v/>
      </c>
      <c r="O20" s="24" t="str">
        <f>if(Actuals!P20 = "", "",Actuals!P20 + Strokes!O20)</f>
        <v/>
      </c>
      <c r="P20" s="24" t="str">
        <f>if(Actuals!Q20 = "", "",Actuals!Q20 + Strokes!P20)</f>
        <v/>
      </c>
      <c r="Q20" s="24" t="str">
        <f>if(Actuals!R20 = "", "",Actuals!R20 + Strokes!Q20)</f>
        <v/>
      </c>
    </row>
    <row r="21">
      <c r="A21" s="13" t="str">
        <f>Actuals!B21</f>
        <v>Kyle N</v>
      </c>
      <c r="B21" s="24">
        <f>if(Actuals!C21 = "", "",Actuals!C21 + Strokes!B21)</f>
        <v>34.2</v>
      </c>
      <c r="C21" s="24">
        <f>if(Actuals!D21 = "", "",Actuals!D21 + Strokes!C21)</f>
        <v>41.7</v>
      </c>
      <c r="D21" s="24">
        <f>if(Actuals!E21 = "", "",Actuals!E21 + Strokes!D21)</f>
        <v>31.3</v>
      </c>
      <c r="E21" s="24" t="str">
        <f>if(Actuals!F21 = "", "",Actuals!F21 + Strokes!E21)</f>
        <v/>
      </c>
      <c r="F21" s="24" t="str">
        <f>if(Actuals!G21 = "", "",Actuals!G21 + Strokes!F21)</f>
        <v/>
      </c>
      <c r="G21" s="24" t="str">
        <f>if(Actuals!H21 = "", "",Actuals!H21 + Strokes!G21)</f>
        <v/>
      </c>
      <c r="H21" s="24" t="str">
        <f>if(Actuals!I21 = "", "",Actuals!I21 + Strokes!H21)</f>
        <v/>
      </c>
      <c r="I21" s="24" t="str">
        <f>if(Actuals!J21 = "", "",Actuals!J21 + Strokes!I21)</f>
        <v/>
      </c>
      <c r="J21" s="24" t="str">
        <f>if(Actuals!K21 = "", "",Actuals!K21 + Strokes!J21)</f>
        <v/>
      </c>
      <c r="K21" s="24" t="str">
        <f>if(Actuals!L21 = "", "",Actuals!L21 + Strokes!K21)</f>
        <v/>
      </c>
      <c r="L21" s="24" t="str">
        <f>if(Actuals!M21 = "", "",Actuals!M21 + Strokes!L21)</f>
        <v/>
      </c>
      <c r="M21" s="24" t="str">
        <f>if(Actuals!N21 = "", "",Actuals!N21 + Strokes!M21)</f>
        <v/>
      </c>
      <c r="N21" s="24" t="str">
        <f>if(Actuals!O21 = "", "",Actuals!O21 + Strokes!N21)</f>
        <v/>
      </c>
      <c r="O21" s="24" t="str">
        <f>if(Actuals!P21 = "", "",Actuals!P21 + Strokes!O21)</f>
        <v/>
      </c>
      <c r="P21" s="24" t="str">
        <f>if(Actuals!Q21 = "", "",Actuals!Q21 + Strokes!P21)</f>
        <v/>
      </c>
      <c r="Q21" s="24" t="str">
        <f>if(Actuals!R21 = "", "",Actuals!R21 + Strokes!Q21)</f>
        <v/>
      </c>
    </row>
    <row r="22">
      <c r="A22" s="13" t="str">
        <f>Actuals!B22</f>
        <v>Laura L</v>
      </c>
      <c r="B22" s="24" t="str">
        <f>if(Actuals!C22 = "", "",Actuals!C22 + Strokes!B22)</f>
        <v/>
      </c>
      <c r="C22" s="24" t="str">
        <f>if(Actuals!D22 = "", "",Actuals!D22 + Strokes!C22)</f>
        <v/>
      </c>
      <c r="D22" s="24" t="str">
        <f>if(Actuals!E22 = "", "",Actuals!E22 + Strokes!D22)</f>
        <v/>
      </c>
      <c r="E22" s="24" t="str">
        <f>if(Actuals!F22 = "", "",Actuals!F22 + Strokes!E22)</f>
        <v/>
      </c>
      <c r="F22" s="24" t="str">
        <f>if(Actuals!G22 = "", "",Actuals!G22 + Strokes!F22)</f>
        <v/>
      </c>
      <c r="G22" s="24" t="str">
        <f>if(Actuals!H22 = "", "",Actuals!H22 + Strokes!G22)</f>
        <v/>
      </c>
      <c r="H22" s="24" t="str">
        <f>if(Actuals!I22 = "", "",Actuals!I22 + Strokes!H22)</f>
        <v/>
      </c>
      <c r="I22" s="24" t="str">
        <f>if(Actuals!J22 = "", "",Actuals!J22 + Strokes!I22)</f>
        <v/>
      </c>
      <c r="J22" s="24" t="str">
        <f>if(Actuals!K22 = "", "",Actuals!K22 + Strokes!J22)</f>
        <v/>
      </c>
      <c r="K22" s="24" t="str">
        <f>if(Actuals!L22 = "", "",Actuals!L22 + Strokes!K22)</f>
        <v/>
      </c>
      <c r="L22" s="24" t="str">
        <f>if(Actuals!M22 = "", "",Actuals!M22 + Strokes!L22)</f>
        <v/>
      </c>
      <c r="M22" s="24" t="str">
        <f>if(Actuals!N22 = "", "",Actuals!N22 + Strokes!M22)</f>
        <v/>
      </c>
      <c r="N22" s="24" t="str">
        <f>if(Actuals!O22 = "", "",Actuals!O22 + Strokes!N22)</f>
        <v/>
      </c>
      <c r="O22" s="24" t="str">
        <f>if(Actuals!P22 = "", "",Actuals!P22 + Strokes!O22)</f>
        <v/>
      </c>
      <c r="P22" s="24" t="str">
        <f>if(Actuals!Q22 = "", "",Actuals!Q22 + Strokes!P22)</f>
        <v/>
      </c>
      <c r="Q22" s="24" t="str">
        <f>if(Actuals!R22 = "", "",Actuals!R22 + Strokes!Q22)</f>
        <v/>
      </c>
    </row>
    <row r="23">
      <c r="A23" s="13" t="str">
        <f>Actuals!B23</f>
        <v>Luke W</v>
      </c>
      <c r="B23" s="24" t="str">
        <f>if(Actuals!C23 = "", "",Actuals!C23 + Strokes!B23)</f>
        <v/>
      </c>
      <c r="C23" s="24" t="str">
        <f>if(Actuals!D23 = "", "",Actuals!D23 + Strokes!C23)</f>
        <v/>
      </c>
      <c r="D23" s="24">
        <f>if(Actuals!E23 = "", "",Actuals!E23 + Strokes!D23)</f>
        <v>32.6</v>
      </c>
      <c r="E23" s="24" t="str">
        <f>if(Actuals!F23 = "", "",Actuals!F23 + Strokes!E23)</f>
        <v/>
      </c>
      <c r="F23" s="24" t="str">
        <f>if(Actuals!G23 = "", "",Actuals!G23 + Strokes!F23)</f>
        <v/>
      </c>
      <c r="G23" s="24" t="str">
        <f>if(Actuals!H23 = "", "",Actuals!H23 + Strokes!G23)</f>
        <v/>
      </c>
      <c r="H23" s="24" t="str">
        <f>if(Actuals!I23 = "", "",Actuals!I23 + Strokes!H23)</f>
        <v/>
      </c>
      <c r="I23" s="24" t="str">
        <f>if(Actuals!J23 = "", "",Actuals!J23 + Strokes!I23)</f>
        <v/>
      </c>
      <c r="J23" s="24" t="str">
        <f>if(Actuals!K23 = "", "",Actuals!K23 + Strokes!J23)</f>
        <v/>
      </c>
      <c r="K23" s="24" t="str">
        <f>if(Actuals!L23 = "", "",Actuals!L23 + Strokes!K23)</f>
        <v/>
      </c>
      <c r="L23" s="24" t="str">
        <f>if(Actuals!M23 = "", "",Actuals!M23 + Strokes!L23)</f>
        <v/>
      </c>
      <c r="M23" s="24" t="str">
        <f>if(Actuals!N23 = "", "",Actuals!N23 + Strokes!M23)</f>
        <v/>
      </c>
      <c r="N23" s="24" t="str">
        <f>if(Actuals!O23 = "", "",Actuals!O23 + Strokes!N23)</f>
        <v/>
      </c>
      <c r="O23" s="24" t="str">
        <f>if(Actuals!P23 = "", "",Actuals!P23 + Strokes!O23)</f>
        <v/>
      </c>
      <c r="P23" s="24" t="str">
        <f>if(Actuals!Q23 = "", "",Actuals!Q23 + Strokes!P23)</f>
        <v/>
      </c>
      <c r="Q23" s="24" t="str">
        <f>if(Actuals!R23 = "", "",Actuals!R23 + Strokes!Q23)</f>
        <v/>
      </c>
    </row>
    <row r="24">
      <c r="A24" s="13" t="str">
        <f>Actuals!B24</f>
        <v>Marc C</v>
      </c>
      <c r="B24" s="24">
        <f>if(Actuals!C24 = "", "",Actuals!C24 + Strokes!B24)</f>
        <v>31.7</v>
      </c>
      <c r="C24" s="24">
        <f>if(Actuals!D24 = "", "",Actuals!D24 + Strokes!C24)</f>
        <v>38.6</v>
      </c>
      <c r="D24" s="24" t="str">
        <f>if(Actuals!E24 = "", "",Actuals!E24 + Strokes!D24)</f>
        <v/>
      </c>
      <c r="E24" s="24" t="str">
        <f>if(Actuals!F24 = "", "",Actuals!F24 + Strokes!E24)</f>
        <v/>
      </c>
      <c r="F24" s="24" t="str">
        <f>if(Actuals!G24 = "", "",Actuals!G24 + Strokes!F24)</f>
        <v/>
      </c>
      <c r="G24" s="24" t="str">
        <f>if(Actuals!H24 = "", "",Actuals!H24 + Strokes!G24)</f>
        <v/>
      </c>
      <c r="H24" s="24" t="str">
        <f>if(Actuals!I24 = "", "",Actuals!I24 + Strokes!H24)</f>
        <v/>
      </c>
      <c r="I24" s="24" t="str">
        <f>if(Actuals!J24 = "", "",Actuals!J24 + Strokes!I24)</f>
        <v/>
      </c>
      <c r="J24" s="24" t="str">
        <f>if(Actuals!K24 = "", "",Actuals!K24 + Strokes!J24)</f>
        <v/>
      </c>
      <c r="K24" s="24" t="str">
        <f>if(Actuals!L24 = "", "",Actuals!L24 + Strokes!K24)</f>
        <v/>
      </c>
      <c r="L24" s="24" t="str">
        <f>if(Actuals!M24 = "", "",Actuals!M24 + Strokes!L24)</f>
        <v/>
      </c>
      <c r="M24" s="24" t="str">
        <f>if(Actuals!N24 = "", "",Actuals!N24 + Strokes!M24)</f>
        <v/>
      </c>
      <c r="N24" s="24" t="str">
        <f>if(Actuals!O24 = "", "",Actuals!O24 + Strokes!N24)</f>
        <v/>
      </c>
      <c r="O24" s="24" t="str">
        <f>if(Actuals!P24 = "", "",Actuals!P24 + Strokes!O24)</f>
        <v/>
      </c>
      <c r="P24" s="24" t="str">
        <f>if(Actuals!Q24 = "", "",Actuals!Q24 + Strokes!P24)</f>
        <v/>
      </c>
      <c r="Q24" s="24" t="str">
        <f>if(Actuals!R24 = "", "",Actuals!R24 + Strokes!Q24)</f>
        <v/>
      </c>
    </row>
    <row r="25">
      <c r="A25" s="13" t="str">
        <f>Actuals!B25</f>
        <v>Mark M</v>
      </c>
      <c r="B25" s="24">
        <f>if(Actuals!C25 = "", "",Actuals!C25 + Strokes!B25)</f>
        <v>35.9</v>
      </c>
      <c r="C25" s="24">
        <f>if(Actuals!D25 = "", "",Actuals!D25 + Strokes!C25)</f>
        <v>38</v>
      </c>
      <c r="D25" s="24">
        <f>if(Actuals!E25 = "", "",Actuals!E25 + Strokes!D25)</f>
        <v>37.3</v>
      </c>
      <c r="E25" s="24" t="str">
        <f>if(Actuals!F25 = "", "",Actuals!F25 + Strokes!E25)</f>
        <v/>
      </c>
      <c r="F25" s="24" t="str">
        <f>if(Actuals!G25 = "", "",Actuals!G25 + Strokes!F25)</f>
        <v/>
      </c>
      <c r="G25" s="24" t="str">
        <f>if(Actuals!H25 = "", "",Actuals!H25 + Strokes!G25)</f>
        <v/>
      </c>
      <c r="H25" s="24" t="str">
        <f>if(Actuals!I25 = "", "",Actuals!I25 + Strokes!H25)</f>
        <v/>
      </c>
      <c r="I25" s="24" t="str">
        <f>if(Actuals!J25 = "", "",Actuals!J25 + Strokes!I25)</f>
        <v/>
      </c>
      <c r="J25" s="24" t="str">
        <f>if(Actuals!K25 = "", "",Actuals!K25 + Strokes!J25)</f>
        <v/>
      </c>
      <c r="K25" s="24" t="str">
        <f>if(Actuals!L25 = "", "",Actuals!L25 + Strokes!K25)</f>
        <v/>
      </c>
      <c r="L25" s="24" t="str">
        <f>if(Actuals!M25 = "", "",Actuals!M25 + Strokes!L25)</f>
        <v/>
      </c>
      <c r="M25" s="24" t="str">
        <f>if(Actuals!N25 = "", "",Actuals!N25 + Strokes!M25)</f>
        <v/>
      </c>
      <c r="N25" s="24" t="str">
        <f>if(Actuals!O25 = "", "",Actuals!O25 + Strokes!N25)</f>
        <v/>
      </c>
      <c r="O25" s="24" t="str">
        <f>if(Actuals!P25 = "", "",Actuals!P25 + Strokes!O25)</f>
        <v/>
      </c>
      <c r="P25" s="24" t="str">
        <f>if(Actuals!Q25 = "", "",Actuals!Q25 + Strokes!P25)</f>
        <v/>
      </c>
      <c r="Q25" s="24" t="str">
        <f>if(Actuals!R25 = "", "",Actuals!R25 + Strokes!Q25)</f>
        <v/>
      </c>
    </row>
    <row r="26">
      <c r="A26" s="13" t="str">
        <f>Actuals!B26</f>
        <v>Martin R</v>
      </c>
      <c r="B26" s="24" t="str">
        <f>if(Actuals!C26 = "", "",Actuals!C26 + Strokes!B26)</f>
        <v/>
      </c>
      <c r="C26" s="24" t="str">
        <f>if(Actuals!D26 = "", "",Actuals!D26 + Strokes!C26)</f>
        <v/>
      </c>
      <c r="D26" s="24" t="str">
        <f>if(Actuals!E26 = "", "",Actuals!E26 + Strokes!D26)</f>
        <v/>
      </c>
      <c r="E26" s="24" t="str">
        <f>if(Actuals!F26 = "", "",Actuals!F26 + Strokes!E26)</f>
        <v/>
      </c>
      <c r="F26" s="24" t="str">
        <f>if(Actuals!G26 = "", "",Actuals!G26 + Strokes!F26)</f>
        <v/>
      </c>
      <c r="G26" s="24" t="str">
        <f>if(Actuals!H26 = "", "",Actuals!H26 + Strokes!G26)</f>
        <v/>
      </c>
      <c r="H26" s="24" t="str">
        <f>if(Actuals!I26 = "", "",Actuals!I26 + Strokes!H26)</f>
        <v/>
      </c>
      <c r="I26" s="24" t="str">
        <f>if(Actuals!J26 = "", "",Actuals!J26 + Strokes!I26)</f>
        <v/>
      </c>
      <c r="J26" s="24" t="str">
        <f>if(Actuals!K26 = "", "",Actuals!K26 + Strokes!J26)</f>
        <v/>
      </c>
      <c r="K26" s="24" t="str">
        <f>if(Actuals!L26 = "", "",Actuals!L26 + Strokes!K26)</f>
        <v/>
      </c>
      <c r="L26" s="24" t="str">
        <f>if(Actuals!M26 = "", "",Actuals!M26 + Strokes!L26)</f>
        <v/>
      </c>
      <c r="M26" s="24" t="str">
        <f>if(Actuals!N26 = "", "",Actuals!N26 + Strokes!M26)</f>
        <v/>
      </c>
      <c r="N26" s="24" t="str">
        <f>if(Actuals!O26 = "", "",Actuals!O26 + Strokes!N26)</f>
        <v/>
      </c>
      <c r="O26" s="24" t="str">
        <f>if(Actuals!P26 = "", "",Actuals!P26 + Strokes!O26)</f>
        <v/>
      </c>
      <c r="P26" s="24" t="str">
        <f>if(Actuals!Q26 = "", "",Actuals!Q26 + Strokes!P26)</f>
        <v/>
      </c>
      <c r="Q26" s="24" t="str">
        <f>if(Actuals!R26 = "", "",Actuals!R26 + Strokes!Q26)</f>
        <v/>
      </c>
    </row>
    <row r="27">
      <c r="A27" s="13" t="str">
        <f>Actuals!B27</f>
        <v>Minji S</v>
      </c>
      <c r="B27" s="24" t="str">
        <f>if(Actuals!C27 = "", "",Actuals!C27 + Strokes!B27)</f>
        <v/>
      </c>
      <c r="C27" s="24" t="str">
        <f>if(Actuals!D27 = "", "",Actuals!D27 + Strokes!C27)</f>
        <v/>
      </c>
      <c r="D27" s="24" t="str">
        <f>if(Actuals!E27 = "", "",Actuals!E27 + Strokes!D27)</f>
        <v/>
      </c>
      <c r="E27" s="24" t="str">
        <f>if(Actuals!F27 = "", "",Actuals!F27 + Strokes!E27)</f>
        <v/>
      </c>
      <c r="F27" s="24" t="str">
        <f>if(Actuals!G27 = "", "",Actuals!G27 + Strokes!F27)</f>
        <v/>
      </c>
      <c r="G27" s="24" t="str">
        <f>if(Actuals!H27 = "", "",Actuals!H27 + Strokes!G27)</f>
        <v/>
      </c>
      <c r="H27" s="24" t="str">
        <f>if(Actuals!I27 = "", "",Actuals!I27 + Strokes!H27)</f>
        <v/>
      </c>
      <c r="I27" s="24" t="str">
        <f>if(Actuals!J27 = "", "",Actuals!J27 + Strokes!I27)</f>
        <v/>
      </c>
      <c r="J27" s="24" t="str">
        <f>if(Actuals!K27 = "", "",Actuals!K27 + Strokes!J27)</f>
        <v/>
      </c>
      <c r="K27" s="24" t="str">
        <f>if(Actuals!L27 = "", "",Actuals!L27 + Strokes!K27)</f>
        <v/>
      </c>
      <c r="L27" s="24" t="str">
        <f>if(Actuals!M27 = "", "",Actuals!M27 + Strokes!L27)</f>
        <v/>
      </c>
      <c r="M27" s="24" t="str">
        <f>if(Actuals!N27 = "", "",Actuals!N27 + Strokes!M27)</f>
        <v/>
      </c>
      <c r="N27" s="24" t="str">
        <f>if(Actuals!O27 = "", "",Actuals!O27 + Strokes!N27)</f>
        <v/>
      </c>
      <c r="O27" s="24" t="str">
        <f>if(Actuals!P27 = "", "",Actuals!P27 + Strokes!O27)</f>
        <v/>
      </c>
      <c r="P27" s="24" t="str">
        <f>if(Actuals!Q27 = "", "",Actuals!Q27 + Strokes!P27)</f>
        <v/>
      </c>
      <c r="Q27" s="24" t="str">
        <f>if(Actuals!R27 = "", "",Actuals!R27 + Strokes!Q27)</f>
        <v/>
      </c>
    </row>
    <row r="28">
      <c r="A28" s="13" t="str">
        <f>Actuals!B28</f>
        <v>Nate R</v>
      </c>
      <c r="B28" s="24">
        <f>if(Actuals!C28 = "", "",Actuals!C28 + Strokes!B28)</f>
        <v>39.4</v>
      </c>
      <c r="C28" s="24">
        <f>if(Actuals!D28 = "", "",Actuals!D28 + Strokes!C28)</f>
        <v>41</v>
      </c>
      <c r="D28" s="24">
        <f>if(Actuals!E28 = "", "",Actuals!E28 + Strokes!D28)</f>
        <v>39.1</v>
      </c>
      <c r="E28" s="24" t="str">
        <f>if(Actuals!F28 = "", "",Actuals!F28 + Strokes!E28)</f>
        <v/>
      </c>
      <c r="F28" s="24" t="str">
        <f>if(Actuals!G28 = "", "",Actuals!G28 + Strokes!F28)</f>
        <v/>
      </c>
      <c r="G28" s="24" t="str">
        <f>if(Actuals!H28 = "", "",Actuals!H28 + Strokes!G28)</f>
        <v/>
      </c>
      <c r="H28" s="24" t="str">
        <f>if(Actuals!I28 = "", "",Actuals!I28 + Strokes!H28)</f>
        <v/>
      </c>
      <c r="I28" s="24" t="str">
        <f>if(Actuals!J28 = "", "",Actuals!J28 + Strokes!I28)</f>
        <v/>
      </c>
      <c r="J28" s="24" t="str">
        <f>if(Actuals!K28 = "", "",Actuals!K28 + Strokes!J28)</f>
        <v/>
      </c>
      <c r="K28" s="24" t="str">
        <f>if(Actuals!L28 = "", "",Actuals!L28 + Strokes!K28)</f>
        <v/>
      </c>
      <c r="L28" s="24" t="str">
        <f>if(Actuals!M28 = "", "",Actuals!M28 + Strokes!L28)</f>
        <v/>
      </c>
      <c r="M28" s="24" t="str">
        <f>if(Actuals!N28 = "", "",Actuals!N28 + Strokes!M28)</f>
        <v/>
      </c>
      <c r="N28" s="24" t="str">
        <f>if(Actuals!O28 = "", "",Actuals!O28 + Strokes!N28)</f>
        <v/>
      </c>
      <c r="O28" s="24" t="str">
        <f>if(Actuals!P28 = "", "",Actuals!P28 + Strokes!O28)</f>
        <v/>
      </c>
      <c r="P28" s="24" t="str">
        <f>if(Actuals!Q28 = "", "",Actuals!Q28 + Strokes!P28)</f>
        <v/>
      </c>
      <c r="Q28" s="24" t="str">
        <f>if(Actuals!R28 = "", "",Actuals!R28 + Strokes!Q28)</f>
        <v/>
      </c>
    </row>
    <row r="29">
      <c r="A29" s="13" t="str">
        <f>Actuals!B29</f>
        <v>Phil J</v>
      </c>
      <c r="B29" s="24" t="str">
        <f>if(Actuals!C29 = "", "",Actuals!C29 + Strokes!B29)</f>
        <v/>
      </c>
      <c r="C29" s="24" t="str">
        <f>if(Actuals!D29 = "", "",Actuals!D29 + Strokes!C29)</f>
        <v/>
      </c>
      <c r="D29" s="24" t="str">
        <f>if(Actuals!E29 = "", "",Actuals!E29 + Strokes!D29)</f>
        <v/>
      </c>
      <c r="E29" s="24" t="str">
        <f>if(Actuals!F29 = "", "",Actuals!F29 + Strokes!E29)</f>
        <v/>
      </c>
      <c r="F29" s="24" t="str">
        <f>if(Actuals!G29 = "", "",Actuals!G29 + Strokes!F29)</f>
        <v/>
      </c>
      <c r="G29" s="24" t="str">
        <f>if(Actuals!H29 = "", "",Actuals!H29 + Strokes!G29)</f>
        <v/>
      </c>
      <c r="H29" s="24" t="str">
        <f>if(Actuals!I29 = "", "",Actuals!I29 + Strokes!H29)</f>
        <v/>
      </c>
      <c r="I29" s="24" t="str">
        <f>if(Actuals!J29 = "", "",Actuals!J29 + Strokes!I29)</f>
        <v/>
      </c>
      <c r="J29" s="24" t="str">
        <f>if(Actuals!K29 = "", "",Actuals!K29 + Strokes!J29)</f>
        <v/>
      </c>
      <c r="K29" s="24" t="str">
        <f>if(Actuals!L29 = "", "",Actuals!L29 + Strokes!K29)</f>
        <v/>
      </c>
      <c r="L29" s="24" t="str">
        <f>if(Actuals!M29 = "", "",Actuals!M29 + Strokes!L29)</f>
        <v/>
      </c>
      <c r="M29" s="24" t="str">
        <f>if(Actuals!N29 = "", "",Actuals!N29 + Strokes!M29)</f>
        <v/>
      </c>
      <c r="N29" s="24" t="str">
        <f>if(Actuals!O29 = "", "",Actuals!O29 + Strokes!N29)</f>
        <v/>
      </c>
      <c r="O29" s="24" t="str">
        <f>if(Actuals!P29 = "", "",Actuals!P29 + Strokes!O29)</f>
        <v/>
      </c>
      <c r="P29" s="24" t="str">
        <f>if(Actuals!Q29 = "", "",Actuals!Q29 + Strokes!P29)</f>
        <v/>
      </c>
      <c r="Q29" s="24" t="str">
        <f>if(Actuals!R29 = "", "",Actuals!R29 + Strokes!Q29)</f>
        <v/>
      </c>
    </row>
    <row r="30">
      <c r="A30" s="13" t="str">
        <f>Actuals!B30</f>
        <v>Preston C</v>
      </c>
      <c r="B30" s="24">
        <f>if(Actuals!C30 = "", "",Actuals!C30 + Strokes!B30)</f>
        <v>33.9</v>
      </c>
      <c r="C30" s="24">
        <f>if(Actuals!D30 = "", "",Actuals!D30 + Strokes!C30)</f>
        <v>40.2</v>
      </c>
      <c r="D30" s="24">
        <f>if(Actuals!E30 = "", "",Actuals!E30 + Strokes!D30)</f>
        <v>35.8</v>
      </c>
      <c r="E30" s="24" t="str">
        <f>if(Actuals!F30 = "", "",Actuals!F30 + Strokes!E30)</f>
        <v/>
      </c>
      <c r="F30" s="24" t="str">
        <f>if(Actuals!G30 = "", "",Actuals!G30 + Strokes!F30)</f>
        <v/>
      </c>
      <c r="G30" s="24" t="str">
        <f>if(Actuals!H30 = "", "",Actuals!H30 + Strokes!G30)</f>
        <v/>
      </c>
      <c r="H30" s="24" t="str">
        <f>if(Actuals!I30 = "", "",Actuals!I30 + Strokes!H30)</f>
        <v/>
      </c>
      <c r="I30" s="24" t="str">
        <f>if(Actuals!J30 = "", "",Actuals!J30 + Strokes!I30)</f>
        <v/>
      </c>
      <c r="J30" s="24" t="str">
        <f>if(Actuals!K30 = "", "",Actuals!K30 + Strokes!J30)</f>
        <v/>
      </c>
      <c r="K30" s="24" t="str">
        <f>if(Actuals!L30 = "", "",Actuals!L30 + Strokes!K30)</f>
        <v/>
      </c>
      <c r="L30" s="24" t="str">
        <f>if(Actuals!M30 = "", "",Actuals!M30 + Strokes!L30)</f>
        <v/>
      </c>
      <c r="M30" s="24" t="str">
        <f>if(Actuals!N30 = "", "",Actuals!N30 + Strokes!M30)</f>
        <v/>
      </c>
      <c r="N30" s="24" t="str">
        <f>if(Actuals!O30 = "", "",Actuals!O30 + Strokes!N30)</f>
        <v/>
      </c>
      <c r="O30" s="24" t="str">
        <f>if(Actuals!P30 = "", "",Actuals!P30 + Strokes!O30)</f>
        <v/>
      </c>
      <c r="P30" s="24" t="str">
        <f>if(Actuals!Q30 = "", "",Actuals!Q30 + Strokes!P30)</f>
        <v/>
      </c>
      <c r="Q30" s="24" t="str">
        <f>if(Actuals!R30 = "", "",Actuals!R30 + Strokes!Q30)</f>
        <v/>
      </c>
    </row>
    <row r="31">
      <c r="A31" s="13" t="str">
        <f>Actuals!B31</f>
        <v>Rich</v>
      </c>
      <c r="B31" s="24" t="str">
        <f>if(Actuals!C31 = "", "",Actuals!C31 + Strokes!B31)</f>
        <v/>
      </c>
      <c r="C31" s="24" t="str">
        <f>if(Actuals!D31 = "", "",Actuals!D31 + Strokes!C31)</f>
        <v/>
      </c>
      <c r="D31" s="24">
        <f>if(Actuals!E31 = "", "",Actuals!E31 + Strokes!D31)</f>
        <v>34.6</v>
      </c>
      <c r="E31" s="24" t="str">
        <f>if(Actuals!F31 = "", "",Actuals!F31 + Strokes!E31)</f>
        <v/>
      </c>
      <c r="F31" s="24" t="str">
        <f>if(Actuals!G31 = "", "",Actuals!G31 + Strokes!F31)</f>
        <v/>
      </c>
      <c r="G31" s="24" t="str">
        <f>if(Actuals!H31 = "", "",Actuals!H31 + Strokes!G31)</f>
        <v/>
      </c>
      <c r="H31" s="24" t="str">
        <f>if(Actuals!I31 = "", "",Actuals!I31 + Strokes!H31)</f>
        <v/>
      </c>
      <c r="I31" s="24" t="str">
        <f>if(Actuals!J31 = "", "",Actuals!J31 + Strokes!I31)</f>
        <v/>
      </c>
      <c r="J31" s="24" t="str">
        <f>if(Actuals!K31 = "", "",Actuals!K31 + Strokes!J31)</f>
        <v/>
      </c>
      <c r="K31" s="24" t="str">
        <f>if(Actuals!L31 = "", "",Actuals!L31 + Strokes!K31)</f>
        <v/>
      </c>
      <c r="L31" s="24" t="str">
        <f>if(Actuals!M31 = "", "",Actuals!M31 + Strokes!L31)</f>
        <v/>
      </c>
      <c r="M31" s="24" t="str">
        <f>if(Actuals!N31 = "", "",Actuals!N31 + Strokes!M31)</f>
        <v/>
      </c>
      <c r="N31" s="24" t="str">
        <f>if(Actuals!O31 = "", "",Actuals!O31 + Strokes!N31)</f>
        <v/>
      </c>
      <c r="O31" s="24" t="str">
        <f>if(Actuals!P31 = "", "",Actuals!P31 + Strokes!O31)</f>
        <v/>
      </c>
      <c r="P31" s="24" t="str">
        <f>if(Actuals!Q31 = "", "",Actuals!Q31 + Strokes!P31)</f>
        <v/>
      </c>
      <c r="Q31" s="24" t="str">
        <f>if(Actuals!R31 = "", "",Actuals!R31 + Strokes!Q31)</f>
        <v/>
      </c>
    </row>
    <row r="32">
      <c r="A32" s="13" t="str">
        <f>Actuals!B32</f>
        <v>Russ B</v>
      </c>
      <c r="B32" s="24" t="str">
        <f>if(Actuals!C32 = "", "",Actuals!C32 + Strokes!B32)</f>
        <v/>
      </c>
      <c r="C32" s="24" t="str">
        <f>if(Actuals!D32 = "", "",Actuals!D32 + Strokes!C32)</f>
        <v/>
      </c>
      <c r="D32" s="24" t="str">
        <f>if(Actuals!E32 = "", "",Actuals!E32 + Strokes!D32)</f>
        <v/>
      </c>
      <c r="E32" s="24" t="str">
        <f>if(Actuals!F32 = "", "",Actuals!F32 + Strokes!E32)</f>
        <v/>
      </c>
      <c r="F32" s="24" t="str">
        <f>if(Actuals!G32 = "", "",Actuals!G32 + Strokes!F32)</f>
        <v/>
      </c>
      <c r="G32" s="24" t="str">
        <f>if(Actuals!H32 = "", "",Actuals!H32 + Strokes!G32)</f>
        <v/>
      </c>
      <c r="H32" s="24" t="str">
        <f>if(Actuals!I32 = "", "",Actuals!I32 + Strokes!H32)</f>
        <v/>
      </c>
      <c r="I32" s="24" t="str">
        <f>if(Actuals!J32 = "", "",Actuals!J32 + Strokes!I32)</f>
        <v/>
      </c>
      <c r="J32" s="24" t="str">
        <f>if(Actuals!K32 = "", "",Actuals!K32 + Strokes!J32)</f>
        <v/>
      </c>
      <c r="K32" s="24" t="str">
        <f>if(Actuals!L32 = "", "",Actuals!L32 + Strokes!K32)</f>
        <v/>
      </c>
      <c r="L32" s="24" t="str">
        <f>if(Actuals!M32 = "", "",Actuals!M32 + Strokes!L32)</f>
        <v/>
      </c>
      <c r="M32" s="24" t="str">
        <f>if(Actuals!N32 = "", "",Actuals!N32 + Strokes!M32)</f>
        <v/>
      </c>
      <c r="N32" s="24" t="str">
        <f>if(Actuals!O32 = "", "",Actuals!O32 + Strokes!N32)</f>
        <v/>
      </c>
      <c r="O32" s="24" t="str">
        <f>if(Actuals!P32 = "", "",Actuals!P32 + Strokes!O32)</f>
        <v/>
      </c>
      <c r="P32" s="24" t="str">
        <f>if(Actuals!Q32 = "", "",Actuals!Q32 + Strokes!P32)</f>
        <v/>
      </c>
      <c r="Q32" s="24" t="str">
        <f>if(Actuals!R32 = "", "",Actuals!R32 + Strokes!Q32)</f>
        <v/>
      </c>
    </row>
    <row r="33">
      <c r="A33" s="13" t="str">
        <f>Actuals!B33</f>
        <v>Russ H</v>
      </c>
      <c r="B33" s="24" t="str">
        <f>if(Actuals!C33 = "", "",Actuals!C33 + Strokes!B33)</f>
        <v/>
      </c>
      <c r="C33" s="24" t="str">
        <f>if(Actuals!D33 = "", "",Actuals!D33 + Strokes!C33)</f>
        <v/>
      </c>
      <c r="D33" s="24" t="str">
        <f>if(Actuals!E33 = "", "",Actuals!E33 + Strokes!D33)</f>
        <v/>
      </c>
      <c r="E33" s="24" t="str">
        <f>if(Actuals!F33 = "", "",Actuals!F33 + Strokes!E33)</f>
        <v/>
      </c>
      <c r="F33" s="24" t="str">
        <f>if(Actuals!G33 = "", "",Actuals!G33 + Strokes!F33)</f>
        <v/>
      </c>
      <c r="G33" s="24" t="str">
        <f>if(Actuals!H33 = "", "",Actuals!H33 + Strokes!G33)</f>
        <v/>
      </c>
      <c r="H33" s="24" t="str">
        <f>if(Actuals!I33 = "", "",Actuals!I33 + Strokes!H33)</f>
        <v/>
      </c>
      <c r="I33" s="24" t="str">
        <f>if(Actuals!J33 = "", "",Actuals!J33 + Strokes!I33)</f>
        <v/>
      </c>
      <c r="J33" s="24" t="str">
        <f>if(Actuals!K33 = "", "",Actuals!K33 + Strokes!J33)</f>
        <v/>
      </c>
      <c r="K33" s="24" t="str">
        <f>if(Actuals!L33 = "", "",Actuals!L33 + Strokes!K33)</f>
        <v/>
      </c>
      <c r="L33" s="24" t="str">
        <f>if(Actuals!M33 = "", "",Actuals!M33 + Strokes!L33)</f>
        <v/>
      </c>
      <c r="M33" s="24" t="str">
        <f>if(Actuals!N33 = "", "",Actuals!N33 + Strokes!M33)</f>
        <v/>
      </c>
      <c r="N33" s="24" t="str">
        <f>if(Actuals!O33 = "", "",Actuals!O33 + Strokes!N33)</f>
        <v/>
      </c>
      <c r="O33" s="24" t="str">
        <f>if(Actuals!P33 = "", "",Actuals!P33 + Strokes!O33)</f>
        <v/>
      </c>
      <c r="P33" s="24" t="str">
        <f>if(Actuals!Q33 = "", "",Actuals!Q33 + Strokes!P33)</f>
        <v/>
      </c>
      <c r="Q33" s="24" t="str">
        <f>if(Actuals!R33 = "", "",Actuals!R33 + Strokes!Q33)</f>
        <v/>
      </c>
    </row>
    <row r="34">
      <c r="A34" s="13" t="str">
        <f>Actuals!B34</f>
        <v>Ryan R</v>
      </c>
      <c r="B34" s="24" t="str">
        <f>if(Actuals!C34 = "", "",Actuals!C34 + Strokes!B34)</f>
        <v/>
      </c>
      <c r="C34" s="24" t="str">
        <f>if(Actuals!D34 = "", "",Actuals!D34 + Strokes!C34)</f>
        <v/>
      </c>
      <c r="D34" s="24" t="str">
        <f>if(Actuals!E34 = "", "",Actuals!E34 + Strokes!D34)</f>
        <v/>
      </c>
      <c r="E34" s="24" t="str">
        <f>if(Actuals!F34 = "", "",Actuals!F34 + Strokes!E34)</f>
        <v/>
      </c>
      <c r="F34" s="24" t="str">
        <f>if(Actuals!G34 = "", "",Actuals!G34 + Strokes!F34)</f>
        <v/>
      </c>
      <c r="G34" s="24" t="str">
        <f>if(Actuals!H34 = "", "",Actuals!H34 + Strokes!G34)</f>
        <v/>
      </c>
      <c r="H34" s="24" t="str">
        <f>if(Actuals!I34 = "", "",Actuals!I34 + Strokes!H34)</f>
        <v/>
      </c>
      <c r="I34" s="24" t="str">
        <f>if(Actuals!J34 = "", "",Actuals!J34 + Strokes!I34)</f>
        <v/>
      </c>
      <c r="J34" s="24" t="str">
        <f>if(Actuals!K34 = "", "",Actuals!K34 + Strokes!J34)</f>
        <v/>
      </c>
      <c r="K34" s="24" t="str">
        <f>if(Actuals!L34 = "", "",Actuals!L34 + Strokes!K34)</f>
        <v/>
      </c>
      <c r="L34" s="24" t="str">
        <f>if(Actuals!M34 = "", "",Actuals!M34 + Strokes!L34)</f>
        <v/>
      </c>
      <c r="M34" s="24" t="str">
        <f>if(Actuals!N34 = "", "",Actuals!N34 + Strokes!M34)</f>
        <v/>
      </c>
      <c r="N34" s="24" t="str">
        <f>if(Actuals!O34 = "", "",Actuals!O34 + Strokes!N34)</f>
        <v/>
      </c>
      <c r="O34" s="24" t="str">
        <f>if(Actuals!P34 = "", "",Actuals!P34 + Strokes!O34)</f>
        <v/>
      </c>
      <c r="P34" s="24" t="str">
        <f>if(Actuals!Q34 = "", "",Actuals!Q34 + Strokes!P34)</f>
        <v/>
      </c>
      <c r="Q34" s="24" t="str">
        <f>if(Actuals!R34 = "", "",Actuals!R34 + Strokes!Q34)</f>
        <v/>
      </c>
    </row>
    <row r="35">
      <c r="A35" s="13" t="str">
        <f>Actuals!B35</f>
        <v>Scott M</v>
      </c>
      <c r="B35" s="24" t="str">
        <f>if(Actuals!C35 = "", "",Actuals!C35 + Strokes!B35)</f>
        <v/>
      </c>
      <c r="C35" s="24" t="str">
        <f>if(Actuals!D35 = "", "",Actuals!D35 + Strokes!C35)</f>
        <v/>
      </c>
      <c r="D35" s="24" t="str">
        <f>if(Actuals!E35 = "", "",Actuals!E35 + Strokes!D35)</f>
        <v/>
      </c>
      <c r="E35" s="24" t="str">
        <f>if(Actuals!F35 = "", "",Actuals!F35 + Strokes!E35)</f>
        <v/>
      </c>
      <c r="F35" s="24" t="str">
        <f>if(Actuals!G35 = "", "",Actuals!G35 + Strokes!F35)</f>
        <v/>
      </c>
      <c r="G35" s="24" t="str">
        <f>if(Actuals!H35 = "", "",Actuals!H35 + Strokes!G35)</f>
        <v/>
      </c>
      <c r="H35" s="24" t="str">
        <f>if(Actuals!I35 = "", "",Actuals!I35 + Strokes!H35)</f>
        <v/>
      </c>
      <c r="I35" s="24" t="str">
        <f>if(Actuals!J35 = "", "",Actuals!J35 + Strokes!I35)</f>
        <v/>
      </c>
      <c r="J35" s="24" t="str">
        <f>if(Actuals!K35 = "", "",Actuals!K35 + Strokes!J35)</f>
        <v/>
      </c>
      <c r="K35" s="24" t="str">
        <f>if(Actuals!L35 = "", "",Actuals!L35 + Strokes!K35)</f>
        <v/>
      </c>
      <c r="L35" s="24" t="str">
        <f>if(Actuals!M35 = "", "",Actuals!M35 + Strokes!L35)</f>
        <v/>
      </c>
      <c r="M35" s="24" t="str">
        <f>if(Actuals!N35 = "", "",Actuals!N35 + Strokes!M35)</f>
        <v/>
      </c>
      <c r="N35" s="24" t="str">
        <f>if(Actuals!O35 = "", "",Actuals!O35 + Strokes!N35)</f>
        <v/>
      </c>
      <c r="O35" s="24" t="str">
        <f>if(Actuals!P35 = "", "",Actuals!P35 + Strokes!O35)</f>
        <v/>
      </c>
      <c r="P35" s="24" t="str">
        <f>if(Actuals!Q35 = "", "",Actuals!Q35 + Strokes!P35)</f>
        <v/>
      </c>
      <c r="Q35" s="24" t="str">
        <f>if(Actuals!R35 = "", "",Actuals!R35 + Strokes!Q35)</f>
        <v/>
      </c>
    </row>
    <row r="36">
      <c r="A36" s="13" t="str">
        <f>Actuals!B36</f>
        <v>Seth A</v>
      </c>
      <c r="B36" s="24" t="str">
        <f>if(Actuals!C36 = "", "",Actuals!C36 + Strokes!B36)</f>
        <v/>
      </c>
      <c r="C36" s="24" t="str">
        <f>if(Actuals!D36 = "", "",Actuals!D36 + Strokes!C36)</f>
        <v/>
      </c>
      <c r="D36" s="24" t="str">
        <f>if(Actuals!E36 = "", "",Actuals!E36 + Strokes!D36)</f>
        <v/>
      </c>
      <c r="E36" s="24" t="str">
        <f>if(Actuals!F36 = "", "",Actuals!F36 + Strokes!E36)</f>
        <v/>
      </c>
      <c r="F36" s="24" t="str">
        <f>if(Actuals!G36 = "", "",Actuals!G36 + Strokes!F36)</f>
        <v/>
      </c>
      <c r="G36" s="24" t="str">
        <f>if(Actuals!H36 = "", "",Actuals!H36 + Strokes!G36)</f>
        <v/>
      </c>
      <c r="H36" s="24" t="str">
        <f>if(Actuals!I36 = "", "",Actuals!I36 + Strokes!H36)</f>
        <v/>
      </c>
      <c r="I36" s="24" t="str">
        <f>if(Actuals!J36 = "", "",Actuals!J36 + Strokes!I36)</f>
        <v/>
      </c>
      <c r="J36" s="24" t="str">
        <f>if(Actuals!K36 = "", "",Actuals!K36 + Strokes!J36)</f>
        <v/>
      </c>
      <c r="K36" s="24" t="str">
        <f>if(Actuals!L36 = "", "",Actuals!L36 + Strokes!K36)</f>
        <v/>
      </c>
      <c r="L36" s="24" t="str">
        <f>if(Actuals!M36 = "", "",Actuals!M36 + Strokes!L36)</f>
        <v/>
      </c>
      <c r="M36" s="24" t="str">
        <f>if(Actuals!N36 = "", "",Actuals!N36 + Strokes!M36)</f>
        <v/>
      </c>
      <c r="N36" s="24" t="str">
        <f>if(Actuals!O36 = "", "",Actuals!O36 + Strokes!N36)</f>
        <v/>
      </c>
      <c r="O36" s="24" t="str">
        <f>if(Actuals!P36 = "", "",Actuals!P36 + Strokes!O36)</f>
        <v/>
      </c>
      <c r="P36" s="24" t="str">
        <f>if(Actuals!Q36 = "", "",Actuals!Q36 + Strokes!P36)</f>
        <v/>
      </c>
      <c r="Q36" s="24" t="str">
        <f>if(Actuals!R36 = "", "",Actuals!R36 + Strokes!Q36)</f>
        <v/>
      </c>
    </row>
    <row r="37">
      <c r="A37" s="13" t="str">
        <f>Actuals!B37</f>
        <v>Simon R</v>
      </c>
      <c r="B37" s="24">
        <f>if(Actuals!C37 = "", "",Actuals!C37 + Strokes!B37)</f>
        <v>35.1</v>
      </c>
      <c r="C37" s="24" t="str">
        <f>if(Actuals!D37 = "", "",Actuals!D37 + Strokes!C37)</f>
        <v/>
      </c>
      <c r="D37" s="24" t="str">
        <f>if(Actuals!E37 = "", "",Actuals!E37 + Strokes!D37)</f>
        <v/>
      </c>
      <c r="E37" s="24" t="str">
        <f>if(Actuals!F37 = "", "",Actuals!F37 + Strokes!E37)</f>
        <v/>
      </c>
      <c r="F37" s="24" t="str">
        <f>if(Actuals!G37 = "", "",Actuals!G37 + Strokes!F37)</f>
        <v/>
      </c>
      <c r="G37" s="24" t="str">
        <f>if(Actuals!H37 = "", "",Actuals!H37 + Strokes!G37)</f>
        <v/>
      </c>
      <c r="H37" s="24" t="str">
        <f>if(Actuals!I37 = "", "",Actuals!I37 + Strokes!H37)</f>
        <v/>
      </c>
      <c r="I37" s="24" t="str">
        <f>if(Actuals!J37 = "", "",Actuals!J37 + Strokes!I37)</f>
        <v/>
      </c>
      <c r="J37" s="24" t="str">
        <f>if(Actuals!K37 = "", "",Actuals!K37 + Strokes!J37)</f>
        <v/>
      </c>
      <c r="K37" s="24" t="str">
        <f>if(Actuals!L37 = "", "",Actuals!L37 + Strokes!K37)</f>
        <v/>
      </c>
      <c r="L37" s="24" t="str">
        <f>if(Actuals!M37 = "", "",Actuals!M37 + Strokes!L37)</f>
        <v/>
      </c>
      <c r="M37" s="24" t="str">
        <f>if(Actuals!N37 = "", "",Actuals!N37 + Strokes!M37)</f>
        <v/>
      </c>
      <c r="N37" s="24" t="str">
        <f>if(Actuals!O37 = "", "",Actuals!O37 + Strokes!N37)</f>
        <v/>
      </c>
      <c r="O37" s="24" t="str">
        <f>if(Actuals!P37 = "", "",Actuals!P37 + Strokes!O37)</f>
        <v/>
      </c>
      <c r="P37" s="24" t="str">
        <f>if(Actuals!Q37 = "", "",Actuals!Q37 + Strokes!P37)</f>
        <v/>
      </c>
      <c r="Q37" s="24" t="str">
        <f>if(Actuals!R37 = "", "",Actuals!R37 + Strokes!Q37)</f>
        <v/>
      </c>
    </row>
    <row r="38">
      <c r="A38" s="13" t="str">
        <f>Actuals!B38</f>
        <v>Steve S</v>
      </c>
      <c r="B38" s="24" t="str">
        <f>if(Actuals!C38 = "", "",Actuals!C38 + Strokes!B38)</f>
        <v/>
      </c>
      <c r="C38" s="24" t="str">
        <f>if(Actuals!D38 = "", "",Actuals!D38 + Strokes!C38)</f>
        <v/>
      </c>
      <c r="D38" s="24" t="str">
        <f>if(Actuals!E38 = "", "",Actuals!E38 + Strokes!D38)</f>
        <v/>
      </c>
      <c r="E38" s="24" t="str">
        <f>if(Actuals!F38 = "", "",Actuals!F38 + Strokes!E38)</f>
        <v/>
      </c>
      <c r="F38" s="24" t="str">
        <f>if(Actuals!G38 = "", "",Actuals!G38 + Strokes!F38)</f>
        <v/>
      </c>
      <c r="G38" s="24" t="str">
        <f>if(Actuals!H38 = "", "",Actuals!H38 + Strokes!G38)</f>
        <v/>
      </c>
      <c r="H38" s="24" t="str">
        <f>if(Actuals!I38 = "", "",Actuals!I38 + Strokes!H38)</f>
        <v/>
      </c>
      <c r="I38" s="24" t="str">
        <f>if(Actuals!J38 = "", "",Actuals!J38 + Strokes!I38)</f>
        <v/>
      </c>
      <c r="J38" s="24" t="str">
        <f>if(Actuals!K38 = "", "",Actuals!K38 + Strokes!J38)</f>
        <v/>
      </c>
      <c r="K38" s="24" t="str">
        <f>if(Actuals!L38 = "", "",Actuals!L38 + Strokes!K38)</f>
        <v/>
      </c>
      <c r="L38" s="24" t="str">
        <f>if(Actuals!M38 = "", "",Actuals!M38 + Strokes!L38)</f>
        <v/>
      </c>
      <c r="M38" s="24" t="str">
        <f>if(Actuals!N38 = "", "",Actuals!N38 + Strokes!M38)</f>
        <v/>
      </c>
      <c r="N38" s="24" t="str">
        <f>if(Actuals!O38 = "", "",Actuals!O38 + Strokes!N38)</f>
        <v/>
      </c>
      <c r="O38" s="24" t="str">
        <f>if(Actuals!P38 = "", "",Actuals!P38 + Strokes!O38)</f>
        <v/>
      </c>
      <c r="P38" s="24" t="str">
        <f>if(Actuals!Q38 = "", "",Actuals!Q38 + Strokes!P38)</f>
        <v/>
      </c>
      <c r="Q38" s="24" t="str">
        <f>if(Actuals!R38 = "", "",Actuals!R38 + Strokes!Q38)</f>
        <v/>
      </c>
    </row>
    <row r="39">
      <c r="A39" s="13" t="str">
        <f>Actuals!B39</f>
        <v>Tanner Brown</v>
      </c>
      <c r="B39" s="24" t="str">
        <f>if(Actuals!C39 = "", "",Actuals!C39 + Strokes!B39)</f>
        <v/>
      </c>
      <c r="C39" s="24">
        <f>if(Actuals!D39 = "", "",Actuals!D39 + Strokes!C39)</f>
        <v>35.5</v>
      </c>
      <c r="D39" s="24" t="str">
        <f>if(Actuals!E39 = "", "",Actuals!E39 + Strokes!D39)</f>
        <v/>
      </c>
      <c r="E39" s="24" t="str">
        <f>if(Actuals!F39 = "", "",Actuals!F39 + Strokes!E39)</f>
        <v/>
      </c>
      <c r="F39" s="24" t="str">
        <f>if(Actuals!G39 = "", "",Actuals!G39 + Strokes!F39)</f>
        <v/>
      </c>
      <c r="G39" s="24" t="str">
        <f>if(Actuals!H39 = "", "",Actuals!H39 + Strokes!G39)</f>
        <v/>
      </c>
      <c r="H39" s="24" t="str">
        <f>if(Actuals!I39 = "", "",Actuals!I39 + Strokes!H39)</f>
        <v/>
      </c>
      <c r="I39" s="24" t="str">
        <f>if(Actuals!J39 = "", "",Actuals!J39 + Strokes!I39)</f>
        <v/>
      </c>
      <c r="J39" s="24" t="str">
        <f>if(Actuals!K39 = "", "",Actuals!K39 + Strokes!J39)</f>
        <v/>
      </c>
      <c r="K39" s="24" t="str">
        <f>if(Actuals!L39 = "", "",Actuals!L39 + Strokes!K39)</f>
        <v/>
      </c>
      <c r="L39" s="24" t="str">
        <f>if(Actuals!M39 = "", "",Actuals!M39 + Strokes!L39)</f>
        <v/>
      </c>
      <c r="M39" s="24" t="str">
        <f>if(Actuals!N39 = "", "",Actuals!N39 + Strokes!M39)</f>
        <v/>
      </c>
      <c r="N39" s="24" t="str">
        <f>if(Actuals!O39 = "", "",Actuals!O39 + Strokes!N39)</f>
        <v/>
      </c>
      <c r="O39" s="24" t="str">
        <f>if(Actuals!P39 = "", "",Actuals!P39 + Strokes!O39)</f>
        <v/>
      </c>
      <c r="P39" s="24" t="str">
        <f>if(Actuals!Q39 = "", "",Actuals!Q39 + Strokes!P39)</f>
        <v/>
      </c>
      <c r="Q39" s="24" t="str">
        <f>if(Actuals!R39 = "", "",Actuals!R39 + Strokes!Q39)</f>
        <v/>
      </c>
    </row>
    <row r="40">
      <c r="A40" s="13" t="str">
        <f>Actuals!B40</f>
        <v>Tanner Buechele</v>
      </c>
      <c r="B40" s="24" t="str">
        <f>if(Actuals!C40 = "", "",Actuals!C40 + Strokes!B40)</f>
        <v/>
      </c>
      <c r="C40" s="24" t="str">
        <f>if(Actuals!D40 = "", "",Actuals!D40 + Strokes!C40)</f>
        <v/>
      </c>
      <c r="D40" s="24" t="str">
        <f>if(Actuals!E40 = "", "",Actuals!E40 + Strokes!D40)</f>
        <v/>
      </c>
      <c r="E40" s="24" t="str">
        <f>if(Actuals!F40 = "", "",Actuals!F40 + Strokes!E40)</f>
        <v/>
      </c>
      <c r="F40" s="24" t="str">
        <f>if(Actuals!G40 = "", "",Actuals!G40 + Strokes!F40)</f>
        <v/>
      </c>
      <c r="G40" s="24" t="str">
        <f>if(Actuals!H40 = "", "",Actuals!H40 + Strokes!G40)</f>
        <v/>
      </c>
      <c r="H40" s="24" t="str">
        <f>if(Actuals!I40 = "", "",Actuals!I40 + Strokes!H40)</f>
        <v/>
      </c>
      <c r="I40" s="24" t="str">
        <f>if(Actuals!J40 = "", "",Actuals!J40 + Strokes!I40)</f>
        <v/>
      </c>
      <c r="J40" s="24" t="str">
        <f>if(Actuals!K40 = "", "",Actuals!K40 + Strokes!J40)</f>
        <v/>
      </c>
      <c r="K40" s="24" t="str">
        <f>if(Actuals!L40 = "", "",Actuals!L40 + Strokes!K40)</f>
        <v/>
      </c>
      <c r="L40" s="24" t="str">
        <f>if(Actuals!M40 = "", "",Actuals!M40 + Strokes!L40)</f>
        <v/>
      </c>
      <c r="M40" s="24" t="str">
        <f>if(Actuals!N40 = "", "",Actuals!N40 + Strokes!M40)</f>
        <v/>
      </c>
      <c r="N40" s="24" t="str">
        <f>if(Actuals!O40 = "", "",Actuals!O40 + Strokes!N40)</f>
        <v/>
      </c>
      <c r="O40" s="24" t="str">
        <f>if(Actuals!P40 = "", "",Actuals!P40 + Strokes!O40)</f>
        <v/>
      </c>
      <c r="P40" s="24" t="str">
        <f>if(Actuals!Q40 = "", "",Actuals!Q40 + Strokes!P40)</f>
        <v/>
      </c>
      <c r="Q40" s="24" t="str">
        <f>if(Actuals!R40 = "", "",Actuals!R40 + Strokes!Q40)</f>
        <v/>
      </c>
    </row>
    <row r="41">
      <c r="A41" s="13" t="str">
        <f>Actuals!B41</f>
        <v>Thomas Y</v>
      </c>
      <c r="B41" s="24" t="str">
        <f>if(Actuals!C41 = "", "",Actuals!C41 + Strokes!B41)</f>
        <v/>
      </c>
      <c r="C41" s="24" t="str">
        <f>if(Actuals!D41 = "", "",Actuals!D41 + Strokes!C41)</f>
        <v/>
      </c>
      <c r="D41" s="24" t="str">
        <f>if(Actuals!E41 = "", "",Actuals!E41 + Strokes!D41)</f>
        <v/>
      </c>
      <c r="E41" s="24" t="str">
        <f>if(Actuals!F41 = "", "",Actuals!F41 + Strokes!E41)</f>
        <v/>
      </c>
      <c r="F41" s="24" t="str">
        <f>if(Actuals!G41 = "", "",Actuals!G41 + Strokes!F41)</f>
        <v/>
      </c>
      <c r="G41" s="24" t="str">
        <f>if(Actuals!H41 = "", "",Actuals!H41 + Strokes!G41)</f>
        <v/>
      </c>
      <c r="H41" s="24" t="str">
        <f>if(Actuals!I41 = "", "",Actuals!I41 + Strokes!H41)</f>
        <v/>
      </c>
      <c r="I41" s="24" t="str">
        <f>if(Actuals!J41 = "", "",Actuals!J41 + Strokes!I41)</f>
        <v/>
      </c>
      <c r="J41" s="24" t="str">
        <f>if(Actuals!K41 = "", "",Actuals!K41 + Strokes!J41)</f>
        <v/>
      </c>
      <c r="K41" s="24" t="str">
        <f>if(Actuals!L41 = "", "",Actuals!L41 + Strokes!K41)</f>
        <v/>
      </c>
      <c r="L41" s="24" t="str">
        <f>if(Actuals!M41 = "", "",Actuals!M41 + Strokes!L41)</f>
        <v/>
      </c>
      <c r="M41" s="24" t="str">
        <f>if(Actuals!N41 = "", "",Actuals!N41 + Strokes!M41)</f>
        <v/>
      </c>
      <c r="N41" s="24" t="str">
        <f>if(Actuals!O41 = "", "",Actuals!O41 + Strokes!N41)</f>
        <v/>
      </c>
      <c r="O41" s="24" t="str">
        <f>if(Actuals!P41 = "", "",Actuals!P41 + Strokes!O41)</f>
        <v/>
      </c>
      <c r="P41" s="24" t="str">
        <f>if(Actuals!Q41 = "", "",Actuals!Q41 + Strokes!P41)</f>
        <v/>
      </c>
      <c r="Q41" s="24" t="str">
        <f>if(Actuals!R41 = "", "",Actuals!R41 + Strokes!Q41)</f>
        <v/>
      </c>
    </row>
    <row r="42">
      <c r="A42" s="13" t="str">
        <f>Actuals!B42</f>
        <v>Tom B</v>
      </c>
      <c r="B42" s="24" t="str">
        <f>if(Actuals!C42 = "", "",Actuals!C42 + Strokes!B42)</f>
        <v/>
      </c>
      <c r="C42" s="24" t="str">
        <f>if(Actuals!D42 = "", "",Actuals!D42 + Strokes!C42)</f>
        <v/>
      </c>
      <c r="D42" s="24" t="str">
        <f>if(Actuals!E42 = "", "",Actuals!E42 + Strokes!D42)</f>
        <v/>
      </c>
      <c r="E42" s="24" t="str">
        <f>if(Actuals!F42 = "", "",Actuals!F42 + Strokes!E42)</f>
        <v/>
      </c>
      <c r="F42" s="24" t="str">
        <f>if(Actuals!G42 = "", "",Actuals!G42 + Strokes!F42)</f>
        <v/>
      </c>
      <c r="G42" s="24" t="str">
        <f>if(Actuals!H42 = "", "",Actuals!H42 + Strokes!G42)</f>
        <v/>
      </c>
      <c r="H42" s="24" t="str">
        <f>if(Actuals!I42 = "", "",Actuals!I42 + Strokes!H42)</f>
        <v/>
      </c>
      <c r="I42" s="24" t="str">
        <f>if(Actuals!J42 = "", "",Actuals!J42 + Strokes!I42)</f>
        <v/>
      </c>
      <c r="J42" s="24" t="str">
        <f>if(Actuals!K42 = "", "",Actuals!K42 + Strokes!J42)</f>
        <v/>
      </c>
      <c r="K42" s="24" t="str">
        <f>if(Actuals!L42 = "", "",Actuals!L42 + Strokes!K42)</f>
        <v/>
      </c>
      <c r="L42" s="24" t="str">
        <f>if(Actuals!M42 = "", "",Actuals!M42 + Strokes!L42)</f>
        <v/>
      </c>
      <c r="M42" s="24" t="str">
        <f>if(Actuals!N42 = "", "",Actuals!N42 + Strokes!M42)</f>
        <v/>
      </c>
      <c r="N42" s="24" t="str">
        <f>if(Actuals!O42 = "", "",Actuals!O42 + Strokes!N42)</f>
        <v/>
      </c>
      <c r="O42" s="24" t="str">
        <f>if(Actuals!P42 = "", "",Actuals!P42 + Strokes!O42)</f>
        <v/>
      </c>
      <c r="P42" s="24" t="str">
        <f>if(Actuals!Q42 = "", "",Actuals!Q42 + Strokes!P42)</f>
        <v/>
      </c>
      <c r="Q42" s="24" t="str">
        <f>if(Actuals!R42 = "", "",Actuals!R42 + Strokes!Q42)</f>
        <v/>
      </c>
    </row>
    <row r="43">
      <c r="A43" s="13" t="str">
        <f>Actuals!B43</f>
        <v>Tommy</v>
      </c>
      <c r="B43" s="24" t="str">
        <f>if(Actuals!C43 = "", "",Actuals!C43 + Strokes!B43)</f>
        <v/>
      </c>
      <c r="C43" s="24" t="str">
        <f>if(Actuals!D43 = "", "",Actuals!D43 + Strokes!C43)</f>
        <v/>
      </c>
      <c r="D43" s="24" t="str">
        <f>if(Actuals!E43 = "", "",Actuals!E43 + Strokes!D43)</f>
        <v/>
      </c>
      <c r="E43" s="24" t="str">
        <f>if(Actuals!F43 = "", "",Actuals!F43 + Strokes!E43)</f>
        <v/>
      </c>
      <c r="F43" s="24" t="str">
        <f>if(Actuals!G43 = "", "",Actuals!G43 + Strokes!F43)</f>
        <v/>
      </c>
      <c r="G43" s="24" t="str">
        <f>if(Actuals!H43 = "", "",Actuals!H43 + Strokes!G43)</f>
        <v/>
      </c>
      <c r="H43" s="24" t="str">
        <f>if(Actuals!I43 = "", "",Actuals!I43 + Strokes!H43)</f>
        <v/>
      </c>
      <c r="I43" s="24" t="str">
        <f>if(Actuals!J43 = "", "",Actuals!J43 + Strokes!I43)</f>
        <v/>
      </c>
      <c r="J43" s="24" t="str">
        <f>if(Actuals!K43 = "", "",Actuals!K43 + Strokes!J43)</f>
        <v/>
      </c>
      <c r="K43" s="24" t="str">
        <f>if(Actuals!L43 = "", "",Actuals!L43 + Strokes!K43)</f>
        <v/>
      </c>
      <c r="L43" s="24" t="str">
        <f>if(Actuals!M43 = "", "",Actuals!M43 + Strokes!L43)</f>
        <v/>
      </c>
      <c r="M43" s="24" t="str">
        <f>if(Actuals!N43 = "", "",Actuals!N43 + Strokes!M43)</f>
        <v/>
      </c>
      <c r="N43" s="24" t="str">
        <f>if(Actuals!O43 = "", "",Actuals!O43 + Strokes!N43)</f>
        <v/>
      </c>
      <c r="O43" s="24" t="str">
        <f>if(Actuals!P43 = "", "",Actuals!P43 + Strokes!O43)</f>
        <v/>
      </c>
      <c r="P43" s="24" t="str">
        <f>if(Actuals!Q43 = "", "",Actuals!Q43 + Strokes!P43)</f>
        <v/>
      </c>
      <c r="Q43" s="24" t="str">
        <f>if(Actuals!R43 = "", "",Actuals!R43 + Strokes!Q43)</f>
        <v/>
      </c>
    </row>
    <row r="44">
      <c r="A44" s="13" t="str">
        <f>Actuals!B44</f>
        <v>Walt S</v>
      </c>
      <c r="B44" s="24">
        <f>if(Actuals!C44 = "", "",Actuals!C44 + Strokes!B44)</f>
        <v>34.7</v>
      </c>
      <c r="C44" s="24" t="str">
        <f>if(Actuals!D44 = "", "",Actuals!D44 + Strokes!C44)</f>
        <v/>
      </c>
      <c r="D44" s="24">
        <f>if(Actuals!E44 = "", "",Actuals!E44 + Strokes!D44)</f>
        <v>32.7</v>
      </c>
      <c r="E44" s="24" t="str">
        <f>if(Actuals!F44 = "", "",Actuals!F44 + Strokes!E44)</f>
        <v/>
      </c>
      <c r="F44" s="24" t="str">
        <f>if(Actuals!G44 = "", "",Actuals!G44 + Strokes!F44)</f>
        <v/>
      </c>
      <c r="G44" s="24" t="str">
        <f>if(Actuals!H44 = "", "",Actuals!H44 + Strokes!G44)</f>
        <v/>
      </c>
      <c r="H44" s="24" t="str">
        <f>if(Actuals!I44 = "", "",Actuals!I44 + Strokes!H44)</f>
        <v/>
      </c>
      <c r="I44" s="24" t="str">
        <f>if(Actuals!J44 = "", "",Actuals!J44 + Strokes!I44)</f>
        <v/>
      </c>
      <c r="J44" s="24" t="str">
        <f>if(Actuals!K44 = "", "",Actuals!K44 + Strokes!J44)</f>
        <v/>
      </c>
      <c r="K44" s="24" t="str">
        <f>if(Actuals!L44 = "", "",Actuals!L44 + Strokes!K44)</f>
        <v/>
      </c>
      <c r="L44" s="24" t="str">
        <f>if(Actuals!M44 = "", "",Actuals!M44 + Strokes!L44)</f>
        <v/>
      </c>
      <c r="M44" s="24" t="str">
        <f>if(Actuals!N44 = "", "",Actuals!N44 + Strokes!M44)</f>
        <v/>
      </c>
      <c r="N44" s="24" t="str">
        <f>if(Actuals!O44 = "", "",Actuals!O44 + Strokes!N44)</f>
        <v/>
      </c>
      <c r="O44" s="24" t="str">
        <f>if(Actuals!P44 = "", "",Actuals!P44 + Strokes!O44)</f>
        <v/>
      </c>
      <c r="P44" s="24" t="str">
        <f>if(Actuals!Q44 = "", "",Actuals!Q44 + Strokes!P44)</f>
        <v/>
      </c>
      <c r="Q44" s="24" t="str">
        <f>if(Actuals!R44 = "", "",Actuals!R44 + Strokes!Q44)</f>
        <v/>
      </c>
    </row>
    <row r="45">
      <c r="A45" s="13" t="str">
        <f>Actuals!B45</f>
        <v>James D</v>
      </c>
      <c r="B45" s="24" t="str">
        <f>if(Actuals!C45 = "", "",Actuals!C45 + Strokes!B45)</f>
        <v/>
      </c>
      <c r="C45" s="24" t="str">
        <f>if(Actuals!D45 = "", "",Actuals!D45 + Strokes!C45)</f>
        <v/>
      </c>
      <c r="D45" s="24" t="str">
        <f>if(Actuals!E45 = "", "",Actuals!E45 + Strokes!D45)</f>
        <v/>
      </c>
      <c r="E45" s="24" t="str">
        <f>if(Actuals!F45 = "", "",Actuals!F45 + Strokes!E45)</f>
        <v/>
      </c>
      <c r="F45" s="24" t="str">
        <f>if(Actuals!G45 = "", "",Actuals!G45 + Strokes!F45)</f>
        <v/>
      </c>
      <c r="G45" s="24" t="str">
        <f>if(Actuals!H45 = "", "",Actuals!H45 + Strokes!G45)</f>
        <v/>
      </c>
      <c r="H45" s="24" t="str">
        <f>if(Actuals!I45 = "", "",Actuals!I45 + Strokes!H45)</f>
        <v/>
      </c>
      <c r="I45" s="24" t="str">
        <f>if(Actuals!J45 = "", "",Actuals!J45 + Strokes!I45)</f>
        <v/>
      </c>
      <c r="J45" s="24" t="str">
        <f>if(Actuals!K45 = "", "",Actuals!K45 + Strokes!J45)</f>
        <v/>
      </c>
      <c r="K45" s="24" t="str">
        <f>if(Actuals!L45 = "", "",Actuals!L45 + Strokes!K45)</f>
        <v/>
      </c>
      <c r="L45" s="24" t="str">
        <f>if(Actuals!M45 = "", "",Actuals!M45 + Strokes!L45)</f>
        <v/>
      </c>
      <c r="M45" s="24" t="str">
        <f>if(Actuals!N45 = "", "",Actuals!N45 + Strokes!M45)</f>
        <v/>
      </c>
      <c r="N45" s="24" t="str">
        <f>if(Actuals!O45 = "", "",Actuals!O45 + Strokes!N45)</f>
        <v/>
      </c>
      <c r="O45" s="24" t="str">
        <f>if(Actuals!P45 = "", "",Actuals!P45 + Strokes!O45)</f>
        <v/>
      </c>
      <c r="P45" s="24" t="str">
        <f>if(Actuals!Q45 = "", "",Actuals!Q45 + Strokes!P45)</f>
        <v/>
      </c>
      <c r="Q45" s="24" t="str">
        <f>if(Actuals!R45 = "", "",Actuals!R45 + Strokes!Q45)</f>
        <v/>
      </c>
    </row>
    <row r="46">
      <c r="A46" s="13" t="str">
        <f>Actuals!B46</f>
        <v>Josh Norris</v>
      </c>
      <c r="B46" s="24" t="str">
        <f>if(Actuals!C46 = "", "",Actuals!C46 + Strokes!B46)</f>
        <v/>
      </c>
      <c r="C46" s="24" t="str">
        <f>if(Actuals!D46 = "", "",Actuals!D46 + Strokes!C46)</f>
        <v/>
      </c>
      <c r="D46" s="24" t="str">
        <f>if(Actuals!E46 = "", "",Actuals!E46 + Strokes!D46)</f>
        <v/>
      </c>
      <c r="E46" s="24" t="str">
        <f>if(Actuals!F46 = "", "",Actuals!F46 + Strokes!E46)</f>
        <v/>
      </c>
      <c r="F46" s="24" t="str">
        <f>if(Actuals!G46 = "", "",Actuals!G46 + Strokes!F46)</f>
        <v/>
      </c>
      <c r="G46" s="24" t="str">
        <f>if(Actuals!H46 = "", "",Actuals!H46 + Strokes!G46)</f>
        <v/>
      </c>
      <c r="H46" s="24" t="str">
        <f>if(Actuals!I46 = "", "",Actuals!I46 + Strokes!H46)</f>
        <v/>
      </c>
      <c r="I46" s="24" t="str">
        <f>if(Actuals!J46 = "", "",Actuals!J46 + Strokes!I46)</f>
        <v/>
      </c>
      <c r="J46" s="24" t="str">
        <f>if(Actuals!K46 = "", "",Actuals!K46 + Strokes!J46)</f>
        <v/>
      </c>
      <c r="K46" s="24" t="str">
        <f>if(Actuals!L46 = "", "",Actuals!L46 + Strokes!K46)</f>
        <v/>
      </c>
      <c r="L46" s="24" t="str">
        <f>if(Actuals!M46 = "", "",Actuals!M46 + Strokes!L46)</f>
        <v/>
      </c>
      <c r="M46" s="24" t="str">
        <f>if(Actuals!N46 = "", "",Actuals!N46 + Strokes!M46)</f>
        <v/>
      </c>
      <c r="N46" s="24" t="str">
        <f>if(Actuals!O46 = "", "",Actuals!O46 + Strokes!N46)</f>
        <v/>
      </c>
      <c r="O46" s="24" t="str">
        <f>if(Actuals!P46 = "", "",Actuals!P46 + Strokes!O46)</f>
        <v/>
      </c>
      <c r="P46" s="24" t="str">
        <f>if(Actuals!Q46 = "", "",Actuals!Q46 + Strokes!P46)</f>
        <v/>
      </c>
      <c r="Q46" s="24" t="str">
        <f>if(Actuals!R46 = "", "",Actuals!R46 + Strokes!Q46)</f>
        <v/>
      </c>
    </row>
    <row r="47">
      <c r="A47" s="13" t="str">
        <f>Actuals!B47</f>
        <v>Simon Sr</v>
      </c>
      <c r="B47" s="24" t="str">
        <f>if(Actuals!C47 = "", "",Actuals!C47 + Strokes!B47)</f>
        <v/>
      </c>
      <c r="C47" s="24" t="str">
        <f>if(Actuals!D47 = "", "",Actuals!D47 + Strokes!C47)</f>
        <v/>
      </c>
      <c r="D47" s="24" t="str">
        <f>if(Actuals!E47 = "", "",Actuals!E47 + Strokes!D47)</f>
        <v/>
      </c>
      <c r="E47" s="24" t="str">
        <f>if(Actuals!F47 = "", "",Actuals!F47 + Strokes!E47)</f>
        <v/>
      </c>
      <c r="F47" s="24" t="str">
        <f>if(Actuals!G47 = "", "",Actuals!G47 + Strokes!F47)</f>
        <v/>
      </c>
      <c r="G47" s="24" t="str">
        <f>if(Actuals!H47 = "", "",Actuals!H47 + Strokes!G47)</f>
        <v/>
      </c>
      <c r="H47" s="24" t="str">
        <f>if(Actuals!I47 = "", "",Actuals!I47 + Strokes!H47)</f>
        <v/>
      </c>
      <c r="I47" s="24" t="str">
        <f>if(Actuals!J47 = "", "",Actuals!J47 + Strokes!I47)</f>
        <v/>
      </c>
      <c r="J47" s="24" t="str">
        <f>if(Actuals!K47 = "", "",Actuals!K47 + Strokes!J47)</f>
        <v/>
      </c>
      <c r="K47" s="24" t="str">
        <f>if(Actuals!L47 = "", "",Actuals!L47 + Strokes!K47)</f>
        <v/>
      </c>
      <c r="L47" s="24" t="str">
        <f>if(Actuals!M47 = "", "",Actuals!M47 + Strokes!L47)</f>
        <v/>
      </c>
      <c r="M47" s="24" t="str">
        <f>if(Actuals!N47 = "", "",Actuals!N47 + Strokes!M47)</f>
        <v/>
      </c>
      <c r="N47" s="24" t="str">
        <f>if(Actuals!O47 = "", "",Actuals!O47 + Strokes!N47)</f>
        <v/>
      </c>
      <c r="O47" s="24" t="str">
        <f>if(Actuals!P47 = "", "",Actuals!P47 + Strokes!O47)</f>
        <v/>
      </c>
      <c r="P47" s="24" t="str">
        <f>if(Actuals!Q47 = "", "",Actuals!Q47 + Strokes!P47)</f>
        <v/>
      </c>
      <c r="Q47" s="24" t="str">
        <f>if(Actuals!R47 = "", "",Actuals!R47 + Strokes!Q47)</f>
        <v/>
      </c>
    </row>
    <row r="48">
      <c r="A48" s="13" t="str">
        <f>Actuals!B48</f>
        <v>Francisco</v>
      </c>
      <c r="B48" s="24">
        <f>if(Actuals!C48 = "", "",Actuals!C48 + Strokes!B48)</f>
        <v>37.4</v>
      </c>
      <c r="C48" s="24">
        <f>if(Actuals!D48 = "", "",Actuals!D48 + Strokes!C48)</f>
        <v>36.1</v>
      </c>
      <c r="D48" s="24" t="str">
        <f>if(Actuals!E48 = "", "",Actuals!E48 + Strokes!D48)</f>
        <v/>
      </c>
      <c r="E48" s="24" t="str">
        <f>if(Actuals!F48 = "", "",Actuals!F48 + Strokes!E48)</f>
        <v/>
      </c>
      <c r="F48" s="24" t="str">
        <f>if(Actuals!G48 = "", "",Actuals!G48 + Strokes!F48)</f>
        <v/>
      </c>
      <c r="G48" s="24" t="str">
        <f>if(Actuals!H48 = "", "",Actuals!H48 + Strokes!G48)</f>
        <v/>
      </c>
      <c r="H48" s="24" t="str">
        <f>if(Actuals!I48 = "", "",Actuals!I48 + Strokes!H48)</f>
        <v/>
      </c>
      <c r="I48" s="24" t="str">
        <f>if(Actuals!J48 = "", "",Actuals!J48 + Strokes!I48)</f>
        <v/>
      </c>
      <c r="J48" s="24" t="str">
        <f>if(Actuals!K48 = "", "",Actuals!K48 + Strokes!J48)</f>
        <v/>
      </c>
      <c r="K48" s="24" t="str">
        <f>if(Actuals!L48 = "", "",Actuals!L48 + Strokes!K48)</f>
        <v/>
      </c>
      <c r="L48" s="24" t="str">
        <f>if(Actuals!M48 = "", "",Actuals!M48 + Strokes!L48)</f>
        <v/>
      </c>
      <c r="M48" s="24" t="str">
        <f>if(Actuals!N48 = "", "",Actuals!N48 + Strokes!M48)</f>
        <v/>
      </c>
      <c r="N48" s="24" t="str">
        <f>if(Actuals!O48 = "", "",Actuals!O48 + Strokes!N48)</f>
        <v/>
      </c>
      <c r="O48" s="24" t="str">
        <f>if(Actuals!P48 = "", "",Actuals!P48 + Strokes!O48)</f>
        <v/>
      </c>
      <c r="P48" s="24" t="str">
        <f>if(Actuals!Q48 = "", "",Actuals!Q48 + Strokes!P48)</f>
        <v/>
      </c>
      <c r="Q48" s="24" t="str">
        <f>if(Actuals!R48 = "", "",Actuals!R48 + Strokes!Q48)</f>
        <v/>
      </c>
    </row>
    <row r="49">
      <c r="A49" s="13" t="str">
        <f>Actuals!B49</f>
        <v>Cam King</v>
      </c>
      <c r="B49" s="24">
        <f>if(Actuals!C49 = "", "",Actuals!C49 + Strokes!B49)</f>
        <v>33.2</v>
      </c>
      <c r="C49" s="24">
        <f>if(Actuals!D49 = "", "",Actuals!D49 + Strokes!C49)</f>
        <v>37.5</v>
      </c>
      <c r="D49" s="24">
        <f>if(Actuals!E49 = "", "",Actuals!E49 + Strokes!D49)</f>
        <v>36.8</v>
      </c>
      <c r="E49" s="24" t="str">
        <f>if(Actuals!F49 = "", "",Actuals!F49 + Strokes!E49)</f>
        <v/>
      </c>
      <c r="F49" s="24" t="str">
        <f>if(Actuals!G49 = "", "",Actuals!G49 + Strokes!F49)</f>
        <v/>
      </c>
      <c r="G49" s="24" t="str">
        <f>if(Actuals!H49 = "", "",Actuals!H49 + Strokes!G49)</f>
        <v/>
      </c>
      <c r="H49" s="24" t="str">
        <f>if(Actuals!I49 = "", "",Actuals!I49 + Strokes!H49)</f>
        <v/>
      </c>
      <c r="I49" s="24" t="str">
        <f>if(Actuals!J49 = "", "",Actuals!J49 + Strokes!I49)</f>
        <v/>
      </c>
      <c r="J49" s="24" t="str">
        <f>if(Actuals!K49 = "", "",Actuals!K49 + Strokes!J49)</f>
        <v/>
      </c>
      <c r="K49" s="24" t="str">
        <f>if(Actuals!L49 = "", "",Actuals!L49 + Strokes!K49)</f>
        <v/>
      </c>
      <c r="L49" s="24" t="str">
        <f>if(Actuals!M49 = "", "",Actuals!M49 + Strokes!L49)</f>
        <v/>
      </c>
      <c r="M49" s="24" t="str">
        <f>if(Actuals!N49 = "", "",Actuals!N49 + Strokes!M49)</f>
        <v/>
      </c>
      <c r="N49" s="24" t="str">
        <f>if(Actuals!O49 = "", "",Actuals!O49 + Strokes!N49)</f>
        <v/>
      </c>
      <c r="O49" s="24" t="str">
        <f>if(Actuals!P49 = "", "",Actuals!P49 + Strokes!O49)</f>
        <v/>
      </c>
      <c r="P49" s="24" t="str">
        <f>if(Actuals!Q49 = "", "",Actuals!Q49 + Strokes!P49)</f>
        <v/>
      </c>
      <c r="Q49" s="24" t="str">
        <f>if(Actuals!R49 = "", "",Actuals!R49 + Strokes!Q49)</f>
        <v/>
      </c>
    </row>
    <row r="50">
      <c r="A50" s="13" t="str">
        <f>Actuals!B50</f>
        <v>Dan K</v>
      </c>
      <c r="B50" s="24">
        <f>if(Actuals!C50 = "", "",Actuals!C50 + Strokes!B50)</f>
        <v>37.4</v>
      </c>
      <c r="C50" s="24" t="str">
        <f>if(Actuals!D50 = "", "",Actuals!D50 + Strokes!C50)</f>
        <v/>
      </c>
      <c r="D50" s="24">
        <f>if(Actuals!E50 = "", "",Actuals!E50 + Strokes!D50)</f>
        <v>36.4</v>
      </c>
      <c r="E50" s="24" t="str">
        <f>if(Actuals!F50 = "", "",Actuals!F50 + Strokes!E50)</f>
        <v/>
      </c>
      <c r="F50" s="24" t="str">
        <f>if(Actuals!G50 = "", "",Actuals!G50 + Strokes!F50)</f>
        <v/>
      </c>
      <c r="G50" s="24" t="str">
        <f>if(Actuals!H50 = "", "",Actuals!H50 + Strokes!G50)</f>
        <v/>
      </c>
      <c r="H50" s="24" t="str">
        <f>if(Actuals!I50 = "", "",Actuals!I50 + Strokes!H50)</f>
        <v/>
      </c>
      <c r="I50" s="24" t="str">
        <f>if(Actuals!J50 = "", "",Actuals!J50 + Strokes!I50)</f>
        <v/>
      </c>
      <c r="J50" s="24" t="str">
        <f>if(Actuals!K50 = "", "",Actuals!K50 + Strokes!J50)</f>
        <v/>
      </c>
      <c r="K50" s="24" t="str">
        <f>if(Actuals!L50 = "", "",Actuals!L50 + Strokes!K50)</f>
        <v/>
      </c>
      <c r="L50" s="24" t="str">
        <f>if(Actuals!M50 = "", "",Actuals!M50 + Strokes!L50)</f>
        <v/>
      </c>
      <c r="M50" s="24" t="str">
        <f>if(Actuals!N50 = "", "",Actuals!N50 + Strokes!M50)</f>
        <v/>
      </c>
      <c r="N50" s="24" t="str">
        <f>if(Actuals!O50 = "", "",Actuals!O50 + Strokes!N50)</f>
        <v/>
      </c>
      <c r="O50" s="24" t="str">
        <f>if(Actuals!P50 = "", "",Actuals!P50 + Strokes!O50)</f>
        <v/>
      </c>
      <c r="P50" s="24" t="str">
        <f>if(Actuals!Q50 = "", "",Actuals!Q50 + Strokes!P50)</f>
        <v/>
      </c>
      <c r="Q50" s="24" t="str">
        <f>if(Actuals!R50 = "", "",Actuals!R50 + Strokes!Q50)</f>
        <v/>
      </c>
    </row>
    <row r="51">
      <c r="A51" s="13" t="str">
        <f>Actuals!B51</f>
        <v>Davis</v>
      </c>
      <c r="B51" s="24" t="str">
        <f>if(Actuals!C51 = "", "",Actuals!C51 + Strokes!B51)</f>
        <v/>
      </c>
      <c r="C51" s="24" t="str">
        <f>if(Actuals!D51 = "", "",Actuals!D51 + Strokes!C51)</f>
        <v/>
      </c>
      <c r="D51" s="24" t="str">
        <f>if(Actuals!E51 = "", "",Actuals!E51 + Strokes!D51)</f>
        <v/>
      </c>
      <c r="E51" s="24" t="str">
        <f>if(Actuals!F51 = "", "",Actuals!F51 + Strokes!E51)</f>
        <v/>
      </c>
      <c r="F51" s="24" t="str">
        <f>if(Actuals!G51 = "", "",Actuals!G51 + Strokes!F51)</f>
        <v/>
      </c>
      <c r="G51" s="24" t="str">
        <f>if(Actuals!H51 = "", "",Actuals!H51 + Strokes!G51)</f>
        <v/>
      </c>
      <c r="H51" s="24" t="str">
        <f>if(Actuals!I51 = "", "",Actuals!I51 + Strokes!H51)</f>
        <v/>
      </c>
      <c r="I51" s="24" t="str">
        <f>if(Actuals!J51 = "", "",Actuals!J51 + Strokes!I51)</f>
        <v/>
      </c>
      <c r="J51" s="24" t="str">
        <f>if(Actuals!K51 = "", "",Actuals!K51 + Strokes!J51)</f>
        <v/>
      </c>
      <c r="K51" s="24" t="str">
        <f>if(Actuals!L51 = "", "",Actuals!L51 + Strokes!K51)</f>
        <v/>
      </c>
      <c r="L51" s="24" t="str">
        <f>if(Actuals!M51 = "", "",Actuals!M51 + Strokes!L51)</f>
        <v/>
      </c>
      <c r="M51" s="24" t="str">
        <f>if(Actuals!N51 = "", "",Actuals!N51 + Strokes!M51)</f>
        <v/>
      </c>
      <c r="N51" s="24" t="str">
        <f>if(Actuals!O51 = "", "",Actuals!O51 + Strokes!N51)</f>
        <v/>
      </c>
      <c r="O51" s="24" t="str">
        <f>if(Actuals!P51 = "", "",Actuals!P51 + Strokes!O51)</f>
        <v/>
      </c>
      <c r="P51" s="24" t="str">
        <f>if(Actuals!Q51 = "", "",Actuals!Q51 + Strokes!P51)</f>
        <v/>
      </c>
      <c r="Q51" s="24" t="str">
        <f>if(Actuals!R51 = "", "",Actuals!R51 + Strokes!Q51)</f>
        <v/>
      </c>
    </row>
    <row r="52">
      <c r="A52" s="13" t="str">
        <f>Actuals!B52</f>
        <v>Amanda C</v>
      </c>
      <c r="B52" s="24" t="str">
        <f>if(Actuals!C52 = "", "",Actuals!C52 + Strokes!B52)</f>
        <v/>
      </c>
      <c r="C52" s="24" t="str">
        <f>if(Actuals!D52 = "", "",Actuals!D52 + Strokes!C52)</f>
        <v/>
      </c>
      <c r="D52" s="24" t="str">
        <f>if(Actuals!E52 = "", "",Actuals!E52 + Strokes!D52)</f>
        <v/>
      </c>
      <c r="E52" s="24" t="str">
        <f>if(Actuals!F52 = "", "",Actuals!F52 + Strokes!E52)</f>
        <v/>
      </c>
      <c r="F52" s="24" t="str">
        <f>if(Actuals!G52 = "", "",Actuals!G52 + Strokes!F52)</f>
        <v/>
      </c>
      <c r="G52" s="24" t="str">
        <f>if(Actuals!H52 = "", "",Actuals!H52 + Strokes!G52)</f>
        <v/>
      </c>
      <c r="H52" s="24" t="str">
        <f>if(Actuals!I52 = "", "",Actuals!I52 + Strokes!H52)</f>
        <v/>
      </c>
      <c r="I52" s="24" t="str">
        <f>if(Actuals!J52 = "", "",Actuals!J52 + Strokes!I52)</f>
        <v/>
      </c>
      <c r="J52" s="24" t="str">
        <f>if(Actuals!K52 = "", "",Actuals!K52 + Strokes!J52)</f>
        <v/>
      </c>
      <c r="K52" s="24" t="str">
        <f>if(Actuals!L52 = "", "",Actuals!L52 + Strokes!K52)</f>
        <v/>
      </c>
      <c r="L52" s="24" t="str">
        <f>if(Actuals!M52 = "", "",Actuals!M52 + Strokes!L52)</f>
        <v/>
      </c>
      <c r="M52" s="24" t="str">
        <f>if(Actuals!N52 = "", "",Actuals!N52 + Strokes!M52)</f>
        <v/>
      </c>
      <c r="N52" s="24" t="str">
        <f>if(Actuals!O52 = "", "",Actuals!O52 + Strokes!N52)</f>
        <v/>
      </c>
      <c r="O52" s="24" t="str">
        <f>if(Actuals!P52 = "", "",Actuals!P52 + Strokes!O52)</f>
        <v/>
      </c>
      <c r="P52" s="24" t="str">
        <f>if(Actuals!Q52 = "", "",Actuals!Q52 + Strokes!P52)</f>
        <v/>
      </c>
      <c r="Q52" s="24" t="str">
        <f>if(Actuals!R52 = "", "",Actuals!R52 + Strokes!Q52)</f>
        <v/>
      </c>
    </row>
    <row r="53">
      <c r="A53" s="13" t="str">
        <f>Actuals!B53</f>
        <v>blank9</v>
      </c>
      <c r="B53" s="24" t="str">
        <f>if(Actuals!C53 = "", "",Actuals!C53 + Strokes!B53)</f>
        <v/>
      </c>
      <c r="C53" s="24" t="str">
        <f>if(Actuals!D53 = "", "",Actuals!D53 + Strokes!C53)</f>
        <v/>
      </c>
      <c r="D53" s="24" t="str">
        <f>if(Actuals!E53 = "", "",Actuals!E53 + Strokes!D53)</f>
        <v/>
      </c>
      <c r="E53" s="24" t="str">
        <f>if(Actuals!F53 = "", "",Actuals!F53 + Strokes!E53)</f>
        <v/>
      </c>
      <c r="F53" s="24" t="str">
        <f>if(Actuals!G53 = "", "",Actuals!G53 + Strokes!F53)</f>
        <v/>
      </c>
      <c r="G53" s="24" t="str">
        <f>if(Actuals!H53 = "", "",Actuals!H53 + Strokes!G53)</f>
        <v/>
      </c>
      <c r="H53" s="24" t="str">
        <f>if(Actuals!I53 = "", "",Actuals!I53 + Strokes!H53)</f>
        <v/>
      </c>
      <c r="I53" s="24" t="str">
        <f>if(Actuals!J53 = "", "",Actuals!J53 + Strokes!I53)</f>
        <v/>
      </c>
      <c r="J53" s="24" t="str">
        <f>if(Actuals!K53 = "", "",Actuals!K53 + Strokes!J53)</f>
        <v/>
      </c>
      <c r="K53" s="24" t="str">
        <f>if(Actuals!L53 = "", "",Actuals!L53 + Strokes!K53)</f>
        <v/>
      </c>
      <c r="L53" s="24" t="str">
        <f>if(Actuals!M53 = "", "",Actuals!M53 + Strokes!L53)</f>
        <v/>
      </c>
      <c r="M53" s="24" t="str">
        <f>if(Actuals!N53 = "", "",Actuals!N53 + Strokes!M53)</f>
        <v/>
      </c>
      <c r="N53" s="24" t="str">
        <f>if(Actuals!O53 = "", "",Actuals!O53 + Strokes!N53)</f>
        <v/>
      </c>
      <c r="O53" s="24" t="str">
        <f>if(Actuals!P53 = "", "",Actuals!P53 + Strokes!O53)</f>
        <v/>
      </c>
      <c r="P53" s="24" t="str">
        <f>if(Actuals!Q53 = "", "",Actuals!Q53 + Strokes!P53)</f>
        <v/>
      </c>
      <c r="Q53" s="24" t="str">
        <f>if(Actuals!R53 = "", "",Actuals!R53 + Strokes!Q53)</f>
        <v/>
      </c>
    </row>
    <row r="54">
      <c r="A54" s="13" t="str">
        <f>Actuals!B54</f>
        <v>blank10</v>
      </c>
      <c r="B54" s="24" t="str">
        <f>if(Actuals!C54 = "", "",Actuals!C54 + Strokes!B54)</f>
        <v/>
      </c>
      <c r="C54" s="24" t="str">
        <f>if(Actuals!D54 = "", "",Actuals!D54 + Strokes!C54)</f>
        <v/>
      </c>
      <c r="D54" s="24" t="str">
        <f>if(Actuals!E54 = "", "",Actuals!E54 + Strokes!D54)</f>
        <v/>
      </c>
      <c r="E54" s="24" t="str">
        <f>if(Actuals!F54 = "", "",Actuals!F54 + Strokes!E54)</f>
        <v/>
      </c>
      <c r="F54" s="24" t="str">
        <f>if(Actuals!G54 = "", "",Actuals!G54 + Strokes!F54)</f>
        <v/>
      </c>
      <c r="G54" s="24" t="str">
        <f>if(Actuals!H54 = "", "",Actuals!H54 + Strokes!G54)</f>
        <v/>
      </c>
      <c r="H54" s="24" t="str">
        <f>if(Actuals!I54 = "", "",Actuals!I54 + Strokes!H54)</f>
        <v/>
      </c>
      <c r="I54" s="24" t="str">
        <f>if(Actuals!J54 = "", "",Actuals!J54 + Strokes!I54)</f>
        <v/>
      </c>
      <c r="J54" s="24" t="str">
        <f>if(Actuals!K54 = "", "",Actuals!K54 + Strokes!J54)</f>
        <v/>
      </c>
      <c r="K54" s="24" t="str">
        <f>if(Actuals!L54 = "", "",Actuals!L54 + Strokes!K54)</f>
        <v/>
      </c>
      <c r="L54" s="24" t="str">
        <f>if(Actuals!M54 = "", "",Actuals!M54 + Strokes!L54)</f>
        <v/>
      </c>
      <c r="M54" s="24" t="str">
        <f>if(Actuals!N54 = "", "",Actuals!N54 + Strokes!M54)</f>
        <v/>
      </c>
      <c r="N54" s="24" t="str">
        <f>if(Actuals!O54 = "", "",Actuals!O54 + Strokes!N54)</f>
        <v/>
      </c>
      <c r="O54" s="24" t="str">
        <f>if(Actuals!P54 = "", "",Actuals!P54 + Strokes!O54)</f>
        <v/>
      </c>
      <c r="P54" s="24" t="str">
        <f>if(Actuals!Q54 = "", "",Actuals!Q54 + Strokes!P54)</f>
        <v/>
      </c>
      <c r="Q54" s="24" t="str">
        <f>if(Actuals!R54 = "", "",Actuals!R54 + Strokes!Q54)</f>
        <v/>
      </c>
    </row>
    <row r="55">
      <c r="A55" s="13" t="str">
        <f>Actuals!B55</f>
        <v>blank11</v>
      </c>
      <c r="B55" s="24" t="str">
        <f>if(Actuals!C55 = "", "",Actuals!C55 + Strokes!B55)</f>
        <v/>
      </c>
      <c r="C55" s="24" t="str">
        <f>if(Actuals!D55 = "", "",Actuals!D55 + Strokes!C55)</f>
        <v/>
      </c>
      <c r="D55" s="24" t="str">
        <f>if(Actuals!E55 = "", "",Actuals!E55 + Strokes!D55)</f>
        <v/>
      </c>
      <c r="E55" s="24" t="str">
        <f>if(Actuals!F55 = "", "",Actuals!F55 + Strokes!E55)</f>
        <v/>
      </c>
      <c r="F55" s="24" t="str">
        <f>if(Actuals!G55 = "", "",Actuals!G55 + Strokes!F55)</f>
        <v/>
      </c>
      <c r="G55" s="24" t="str">
        <f>if(Actuals!H55 = "", "",Actuals!H55 + Strokes!G55)</f>
        <v/>
      </c>
      <c r="H55" s="24" t="str">
        <f>if(Actuals!I55 = "", "",Actuals!I55 + Strokes!H55)</f>
        <v/>
      </c>
      <c r="I55" s="24" t="str">
        <f>if(Actuals!J55 = "", "",Actuals!J55 + Strokes!I55)</f>
        <v/>
      </c>
      <c r="J55" s="24" t="str">
        <f>if(Actuals!K55 = "", "",Actuals!K55 + Strokes!J55)</f>
        <v/>
      </c>
      <c r="K55" s="24" t="str">
        <f>if(Actuals!L55 = "", "",Actuals!L55 + Strokes!K55)</f>
        <v/>
      </c>
      <c r="L55" s="24" t="str">
        <f>if(Actuals!M55 = "", "",Actuals!M55 + Strokes!L55)</f>
        <v/>
      </c>
      <c r="M55" s="24" t="str">
        <f>if(Actuals!N55 = "", "",Actuals!N55 + Strokes!M55)</f>
        <v/>
      </c>
      <c r="N55" s="24" t="str">
        <f>if(Actuals!O55 = "", "",Actuals!O55 + Strokes!N55)</f>
        <v/>
      </c>
      <c r="O55" s="24" t="str">
        <f>if(Actuals!P55 = "", "",Actuals!P55 + Strokes!O55)</f>
        <v/>
      </c>
      <c r="P55" s="24" t="str">
        <f>if(Actuals!Q55 = "", "",Actuals!Q55 + Strokes!P55)</f>
        <v/>
      </c>
      <c r="Q55" s="24" t="str">
        <f>if(Actuals!R55 = "", "",Actuals!R55 + Strokes!Q55)</f>
        <v/>
      </c>
    </row>
    <row r="56">
      <c r="A56" s="13" t="str">
        <f>Actuals!B56</f>
        <v>blank12</v>
      </c>
      <c r="B56" s="24" t="str">
        <f>if(Actuals!C56 = "", "",Actuals!C56 + Strokes!B56)</f>
        <v/>
      </c>
      <c r="C56" s="24" t="str">
        <f>if(Actuals!D56 = "", "",Actuals!D56 + Strokes!C56)</f>
        <v/>
      </c>
      <c r="D56" s="24" t="str">
        <f>if(Actuals!E56 = "", "",Actuals!E56 + Strokes!D56)</f>
        <v/>
      </c>
      <c r="E56" s="24" t="str">
        <f>if(Actuals!F56 = "", "",Actuals!F56 + Strokes!E56)</f>
        <v/>
      </c>
      <c r="F56" s="24" t="str">
        <f>if(Actuals!G56 = "", "",Actuals!G56 + Strokes!F56)</f>
        <v/>
      </c>
      <c r="G56" s="24" t="str">
        <f>if(Actuals!H56 = "", "",Actuals!H56 + Strokes!G56)</f>
        <v/>
      </c>
      <c r="H56" s="24" t="str">
        <f>if(Actuals!I56 = "", "",Actuals!I56 + Strokes!H56)</f>
        <v/>
      </c>
      <c r="I56" s="24" t="str">
        <f>if(Actuals!J56 = "", "",Actuals!J56 + Strokes!I56)</f>
        <v/>
      </c>
      <c r="J56" s="24" t="str">
        <f>if(Actuals!K56 = "", "",Actuals!K56 + Strokes!J56)</f>
        <v/>
      </c>
      <c r="K56" s="24" t="str">
        <f>if(Actuals!L56 = "", "",Actuals!L56 + Strokes!K56)</f>
        <v/>
      </c>
      <c r="L56" s="24" t="str">
        <f>if(Actuals!M56 = "", "",Actuals!M56 + Strokes!L56)</f>
        <v/>
      </c>
      <c r="M56" s="24" t="str">
        <f>if(Actuals!N56 = "", "",Actuals!N56 + Strokes!M56)</f>
        <v/>
      </c>
      <c r="N56" s="24" t="str">
        <f>if(Actuals!O56 = "", "",Actuals!O56 + Strokes!N56)</f>
        <v/>
      </c>
      <c r="O56" s="24" t="str">
        <f>if(Actuals!P56 = "", "",Actuals!P56 + Strokes!O56)</f>
        <v/>
      </c>
      <c r="P56" s="24" t="str">
        <f>if(Actuals!Q56 = "", "",Actuals!Q56 + Strokes!P56)</f>
        <v/>
      </c>
      <c r="Q56" s="24" t="str">
        <f>if(Actuals!R56 = "", "",Actuals!R56 + Strokes!Q56)</f>
        <v/>
      </c>
    </row>
    <row r="57">
      <c r="A57" s="13" t="str">
        <f>Actuals!B57</f>
        <v>blank13</v>
      </c>
      <c r="B57" s="24" t="str">
        <f>if(Actuals!C57 = "", "",Actuals!C57 + Strokes!B57)</f>
        <v/>
      </c>
      <c r="C57" s="24" t="str">
        <f>if(Actuals!D57 = "", "",Actuals!D57 + Strokes!C57)</f>
        <v/>
      </c>
      <c r="D57" s="24" t="str">
        <f>if(Actuals!E57 = "", "",Actuals!E57 + Strokes!D57)</f>
        <v/>
      </c>
      <c r="E57" s="24" t="str">
        <f>if(Actuals!F57 = "", "",Actuals!F57 + Strokes!E57)</f>
        <v/>
      </c>
      <c r="F57" s="24" t="str">
        <f>if(Actuals!G57 = "", "",Actuals!G57 + Strokes!F57)</f>
        <v/>
      </c>
      <c r="G57" s="24" t="str">
        <f>if(Actuals!H57 = "", "",Actuals!H57 + Strokes!G57)</f>
        <v/>
      </c>
      <c r="H57" s="24" t="str">
        <f>if(Actuals!I57 = "", "",Actuals!I57 + Strokes!H57)</f>
        <v/>
      </c>
      <c r="I57" s="24" t="str">
        <f>if(Actuals!J57 = "", "",Actuals!J57 + Strokes!I57)</f>
        <v/>
      </c>
      <c r="J57" s="24" t="str">
        <f>if(Actuals!K57 = "", "",Actuals!K57 + Strokes!J57)</f>
        <v/>
      </c>
      <c r="K57" s="24" t="str">
        <f>if(Actuals!L57 = "", "",Actuals!L57 + Strokes!K57)</f>
        <v/>
      </c>
      <c r="L57" s="24" t="str">
        <f>if(Actuals!M57 = "", "",Actuals!M57 + Strokes!L57)</f>
        <v/>
      </c>
      <c r="M57" s="24" t="str">
        <f>if(Actuals!N57 = "", "",Actuals!N57 + Strokes!M57)</f>
        <v/>
      </c>
      <c r="N57" s="24" t="str">
        <f>if(Actuals!O57 = "", "",Actuals!O57 + Strokes!N57)</f>
        <v/>
      </c>
      <c r="O57" s="24" t="str">
        <f>if(Actuals!P57 = "", "",Actuals!P57 + Strokes!O57)</f>
        <v/>
      </c>
      <c r="P57" s="24" t="str">
        <f>if(Actuals!Q57 = "", "",Actuals!Q57 + Strokes!P57)</f>
        <v/>
      </c>
      <c r="Q57" s="24" t="str">
        <f>if(Actuals!R57 = "", "",Actuals!R57 + Strokes!Q57)</f>
        <v/>
      </c>
    </row>
    <row r="58">
      <c r="A58" s="13" t="str">
        <f>Actuals!B58</f>
        <v>blank14</v>
      </c>
      <c r="B58" s="24" t="str">
        <f>if(Actuals!C58 = "", "",Actuals!C58 + Strokes!B58)</f>
        <v/>
      </c>
      <c r="C58" s="24" t="str">
        <f>if(Actuals!D58 = "", "",Actuals!D58 + Strokes!C58)</f>
        <v/>
      </c>
      <c r="D58" s="24" t="str">
        <f>if(Actuals!E58 = "", "",Actuals!E58 + Strokes!D58)</f>
        <v/>
      </c>
      <c r="E58" s="24" t="str">
        <f>if(Actuals!F58 = "", "",Actuals!F58 + Strokes!E58)</f>
        <v/>
      </c>
      <c r="F58" s="24" t="str">
        <f>if(Actuals!G58 = "", "",Actuals!G58 + Strokes!F58)</f>
        <v/>
      </c>
      <c r="G58" s="24" t="str">
        <f>if(Actuals!H58 = "", "",Actuals!H58 + Strokes!G58)</f>
        <v/>
      </c>
      <c r="H58" s="24" t="str">
        <f>if(Actuals!I58 = "", "",Actuals!I58 + Strokes!H58)</f>
        <v/>
      </c>
      <c r="I58" s="24" t="str">
        <f>if(Actuals!J58 = "", "",Actuals!J58 + Strokes!I58)</f>
        <v/>
      </c>
      <c r="J58" s="24" t="str">
        <f>if(Actuals!K58 = "", "",Actuals!K58 + Strokes!J58)</f>
        <v/>
      </c>
      <c r="K58" s="24" t="str">
        <f>if(Actuals!L58 = "", "",Actuals!L58 + Strokes!K58)</f>
        <v/>
      </c>
      <c r="L58" s="24" t="str">
        <f>if(Actuals!M58 = "", "",Actuals!M58 + Strokes!L58)</f>
        <v/>
      </c>
      <c r="M58" s="24" t="str">
        <f>if(Actuals!N58 = "", "",Actuals!N58 + Strokes!M58)</f>
        <v/>
      </c>
      <c r="N58" s="24" t="str">
        <f>if(Actuals!O58 = "", "",Actuals!O58 + Strokes!N58)</f>
        <v/>
      </c>
      <c r="O58" s="24" t="str">
        <f>if(Actuals!P58 = "", "",Actuals!P58 + Strokes!O58)</f>
        <v/>
      </c>
      <c r="P58" s="24" t="str">
        <f>if(Actuals!Q58 = "", "",Actuals!Q58 + Strokes!P58)</f>
        <v/>
      </c>
      <c r="Q58" s="24" t="str">
        <f>if(Actuals!R58 = "", "",Actuals!R58 + Strokes!Q58)</f>
        <v/>
      </c>
    </row>
    <row r="59">
      <c r="A59" s="13" t="str">
        <f>Actuals!B59</f>
        <v>blank15</v>
      </c>
      <c r="B59" s="24" t="str">
        <f>if(Actuals!C59 = "", "",Actuals!C59 + Strokes!B59)</f>
        <v/>
      </c>
      <c r="C59" s="24" t="str">
        <f>if(Actuals!D59 = "", "",Actuals!D59 + Strokes!C59)</f>
        <v/>
      </c>
      <c r="D59" s="24" t="str">
        <f>if(Actuals!E59 = "", "",Actuals!E59 + Strokes!D59)</f>
        <v/>
      </c>
      <c r="E59" s="24" t="str">
        <f>if(Actuals!F59 = "", "",Actuals!F59 + Strokes!E59)</f>
        <v/>
      </c>
      <c r="F59" s="24" t="str">
        <f>if(Actuals!G59 = "", "",Actuals!G59 + Strokes!F59)</f>
        <v/>
      </c>
      <c r="G59" s="24" t="str">
        <f>if(Actuals!H59 = "", "",Actuals!H59 + Strokes!G59)</f>
        <v/>
      </c>
      <c r="H59" s="24" t="str">
        <f>if(Actuals!I59 = "", "",Actuals!I59 + Strokes!H59)</f>
        <v/>
      </c>
      <c r="I59" s="24" t="str">
        <f>if(Actuals!J59 = "", "",Actuals!J59 + Strokes!I59)</f>
        <v/>
      </c>
      <c r="J59" s="24" t="str">
        <f>if(Actuals!K59 = "", "",Actuals!K59 + Strokes!J59)</f>
        <v/>
      </c>
      <c r="K59" s="24" t="str">
        <f>if(Actuals!L59 = "", "",Actuals!L59 + Strokes!K59)</f>
        <v/>
      </c>
      <c r="L59" s="24" t="str">
        <f>if(Actuals!M59 = "", "",Actuals!M59 + Strokes!L59)</f>
        <v/>
      </c>
      <c r="M59" s="24" t="str">
        <f>if(Actuals!N59 = "", "",Actuals!N59 + Strokes!M59)</f>
        <v/>
      </c>
      <c r="N59" s="24" t="str">
        <f>if(Actuals!O59 = "", "",Actuals!O59 + Strokes!N59)</f>
        <v/>
      </c>
      <c r="O59" s="24" t="str">
        <f>if(Actuals!P59 = "", "",Actuals!P59 + Strokes!O59)</f>
        <v/>
      </c>
      <c r="P59" s="24" t="str">
        <f>if(Actuals!Q59 = "", "",Actuals!Q59 + Strokes!P59)</f>
        <v/>
      </c>
      <c r="Q59" s="24" t="str">
        <f>if(Actuals!R59 = "", "",Actuals!R59 + Strokes!Q59)</f>
        <v/>
      </c>
    </row>
    <row r="60">
      <c r="A60" s="13" t="str">
        <f>Actuals!B60</f>
        <v>blank16</v>
      </c>
      <c r="B60" s="24" t="str">
        <f>if(Actuals!C60 = "", "",Actuals!C60 + Strokes!B60)</f>
        <v/>
      </c>
      <c r="C60" s="24" t="str">
        <f>if(Actuals!D60 = "", "",Actuals!D60 + Strokes!C60)</f>
        <v/>
      </c>
      <c r="D60" s="24" t="str">
        <f>if(Actuals!E60 = "", "",Actuals!E60 + Strokes!D60)</f>
        <v/>
      </c>
      <c r="E60" s="24" t="str">
        <f>if(Actuals!F60 = "", "",Actuals!F60 + Strokes!E60)</f>
        <v/>
      </c>
      <c r="F60" s="24" t="str">
        <f>if(Actuals!G60 = "", "",Actuals!G60 + Strokes!F60)</f>
        <v/>
      </c>
      <c r="G60" s="24" t="str">
        <f>if(Actuals!H60 = "", "",Actuals!H60 + Strokes!G60)</f>
        <v/>
      </c>
      <c r="H60" s="24" t="str">
        <f>if(Actuals!I60 = "", "",Actuals!I60 + Strokes!H60)</f>
        <v/>
      </c>
      <c r="I60" s="24" t="str">
        <f>if(Actuals!J60 = "", "",Actuals!J60 + Strokes!I60)</f>
        <v/>
      </c>
      <c r="J60" s="24" t="str">
        <f>if(Actuals!K60 = "", "",Actuals!K60 + Strokes!J60)</f>
        <v/>
      </c>
      <c r="K60" s="24" t="str">
        <f>if(Actuals!L60 = "", "",Actuals!L60 + Strokes!K60)</f>
        <v/>
      </c>
      <c r="L60" s="24" t="str">
        <f>if(Actuals!M60 = "", "",Actuals!M60 + Strokes!L60)</f>
        <v/>
      </c>
      <c r="M60" s="24" t="str">
        <f>if(Actuals!N60 = "", "",Actuals!N60 + Strokes!M60)</f>
        <v/>
      </c>
      <c r="N60" s="24" t="str">
        <f>if(Actuals!O60 = "", "",Actuals!O60 + Strokes!N60)</f>
        <v/>
      </c>
      <c r="O60" s="24" t="str">
        <f>if(Actuals!P60 = "", "",Actuals!P60 + Strokes!O60)</f>
        <v/>
      </c>
      <c r="P60" s="24" t="str">
        <f>if(Actuals!Q60 = "", "",Actuals!Q60 + Strokes!P60)</f>
        <v/>
      </c>
      <c r="Q60" s="24" t="str">
        <f>if(Actuals!R60 = "", "",Actuals!R60 + Strokes!Q60)</f>
        <v/>
      </c>
    </row>
    <row r="61">
      <c r="A61" s="13" t="str">
        <f>Actuals!B61</f>
        <v>blank17</v>
      </c>
      <c r="B61" s="24" t="str">
        <f>if(Actuals!C61 = "", "",Actuals!C61 + Strokes!B61)</f>
        <v/>
      </c>
      <c r="C61" s="24" t="str">
        <f>if(Actuals!D61 = "", "",Actuals!D61 + Strokes!C61)</f>
        <v/>
      </c>
      <c r="D61" s="24" t="str">
        <f>if(Actuals!E61 = "", "",Actuals!E61 + Strokes!D61)</f>
        <v/>
      </c>
      <c r="E61" s="24" t="str">
        <f>if(Actuals!F61 = "", "",Actuals!F61 + Strokes!E61)</f>
        <v/>
      </c>
      <c r="F61" s="24" t="str">
        <f>if(Actuals!G61 = "", "",Actuals!G61 + Strokes!F61)</f>
        <v/>
      </c>
      <c r="G61" s="24" t="str">
        <f>if(Actuals!H61 = "", "",Actuals!H61 + Strokes!G61)</f>
        <v/>
      </c>
      <c r="H61" s="24" t="str">
        <f>if(Actuals!I61 = "", "",Actuals!I61 + Strokes!H61)</f>
        <v/>
      </c>
      <c r="I61" s="24" t="str">
        <f>if(Actuals!J61 = "", "",Actuals!J61 + Strokes!I61)</f>
        <v/>
      </c>
      <c r="J61" s="24" t="str">
        <f>if(Actuals!K61 = "", "",Actuals!K61 + Strokes!J61)</f>
        <v/>
      </c>
      <c r="K61" s="24" t="str">
        <f>if(Actuals!L61 = "", "",Actuals!L61 + Strokes!K61)</f>
        <v/>
      </c>
      <c r="L61" s="24" t="str">
        <f>if(Actuals!M61 = "", "",Actuals!M61 + Strokes!L61)</f>
        <v/>
      </c>
      <c r="M61" s="24" t="str">
        <f>if(Actuals!N61 = "", "",Actuals!N61 + Strokes!M61)</f>
        <v/>
      </c>
      <c r="N61" s="24" t="str">
        <f>if(Actuals!O61 = "", "",Actuals!O61 + Strokes!N61)</f>
        <v/>
      </c>
      <c r="O61" s="24" t="str">
        <f>if(Actuals!P61 = "", "",Actuals!P61 + Strokes!O61)</f>
        <v/>
      </c>
      <c r="P61" s="24" t="str">
        <f>if(Actuals!Q61 = "", "",Actuals!Q61 + Strokes!P61)</f>
        <v/>
      </c>
      <c r="Q61" s="24" t="str">
        <f>if(Actuals!R61 = "", "",Actuals!R61 + Strokes!Q61)</f>
        <v/>
      </c>
    </row>
    <row r="62">
      <c r="A62" s="13" t="str">
        <f>Actuals!B62</f>
        <v>blank18</v>
      </c>
      <c r="B62" s="24" t="str">
        <f>if(Actuals!C62 = "", "",Actuals!C62 + Strokes!B62)</f>
        <v/>
      </c>
      <c r="C62" s="24" t="str">
        <f>if(Actuals!D62 = "", "",Actuals!D62 + Strokes!C62)</f>
        <v/>
      </c>
      <c r="D62" s="24" t="str">
        <f>if(Actuals!E62 = "", "",Actuals!E62 + Strokes!D62)</f>
        <v/>
      </c>
      <c r="E62" s="24" t="str">
        <f>if(Actuals!F62 = "", "",Actuals!F62 + Strokes!E62)</f>
        <v/>
      </c>
      <c r="F62" s="24" t="str">
        <f>if(Actuals!G62 = "", "",Actuals!G62 + Strokes!F62)</f>
        <v/>
      </c>
      <c r="G62" s="24" t="str">
        <f>if(Actuals!H62 = "", "",Actuals!H62 + Strokes!G62)</f>
        <v/>
      </c>
      <c r="H62" s="24" t="str">
        <f>if(Actuals!I62 = "", "",Actuals!I62 + Strokes!H62)</f>
        <v/>
      </c>
      <c r="I62" s="24" t="str">
        <f>if(Actuals!J62 = "", "",Actuals!J62 + Strokes!I62)</f>
        <v/>
      </c>
      <c r="J62" s="24" t="str">
        <f>if(Actuals!K62 = "", "",Actuals!K62 + Strokes!J62)</f>
        <v/>
      </c>
      <c r="K62" s="24" t="str">
        <f>if(Actuals!L62 = "", "",Actuals!L62 + Strokes!K62)</f>
        <v/>
      </c>
      <c r="L62" s="24" t="str">
        <f>if(Actuals!M62 = "", "",Actuals!M62 + Strokes!L62)</f>
        <v/>
      </c>
      <c r="M62" s="24" t="str">
        <f>if(Actuals!N62 = "", "",Actuals!N62 + Strokes!M62)</f>
        <v/>
      </c>
      <c r="N62" s="24" t="str">
        <f>if(Actuals!O62 = "", "",Actuals!O62 + Strokes!N62)</f>
        <v/>
      </c>
      <c r="O62" s="24" t="str">
        <f>if(Actuals!P62 = "", "",Actuals!P62 + Strokes!O62)</f>
        <v/>
      </c>
      <c r="P62" s="24" t="str">
        <f>if(Actuals!Q62 = "", "",Actuals!Q62 + Strokes!P62)</f>
        <v/>
      </c>
      <c r="Q62" s="24" t="str">
        <f>if(Actuals!R62 = "", "",Actuals!R62 + Strokes!Q62)</f>
        <v/>
      </c>
    </row>
    <row r="63">
      <c r="A63" s="13" t="str">
        <f>Actuals!B63</f>
        <v>blank19</v>
      </c>
      <c r="B63" s="24" t="str">
        <f>if(Actuals!C63 = "", "",Actuals!C63 + Strokes!B63)</f>
        <v/>
      </c>
      <c r="C63" s="24" t="str">
        <f>if(Actuals!D63 = "", "",Actuals!D63 + Strokes!C63)</f>
        <v/>
      </c>
      <c r="D63" s="24" t="str">
        <f>if(Actuals!E63 = "", "",Actuals!E63 + Strokes!D63)</f>
        <v/>
      </c>
      <c r="E63" s="24" t="str">
        <f>if(Actuals!F63 = "", "",Actuals!F63 + Strokes!E63)</f>
        <v/>
      </c>
      <c r="F63" s="24" t="str">
        <f>if(Actuals!G63 = "", "",Actuals!G63 + Strokes!F63)</f>
        <v/>
      </c>
      <c r="G63" s="24" t="str">
        <f>if(Actuals!H63 = "", "",Actuals!H63 + Strokes!G63)</f>
        <v/>
      </c>
      <c r="H63" s="24" t="str">
        <f>if(Actuals!I63 = "", "",Actuals!I63 + Strokes!H63)</f>
        <v/>
      </c>
      <c r="I63" s="24" t="str">
        <f>if(Actuals!J63 = "", "",Actuals!J63 + Strokes!I63)</f>
        <v/>
      </c>
      <c r="J63" s="24" t="str">
        <f>if(Actuals!K63 = "", "",Actuals!K63 + Strokes!J63)</f>
        <v/>
      </c>
      <c r="K63" s="24" t="str">
        <f>if(Actuals!L63 = "", "",Actuals!L63 + Strokes!K63)</f>
        <v/>
      </c>
      <c r="L63" s="24" t="str">
        <f>if(Actuals!M63 = "", "",Actuals!M63 + Strokes!L63)</f>
        <v/>
      </c>
      <c r="M63" s="24" t="str">
        <f>if(Actuals!N63 = "", "",Actuals!N63 + Strokes!M63)</f>
        <v/>
      </c>
      <c r="N63" s="24" t="str">
        <f>if(Actuals!O63 = "", "",Actuals!O63 + Strokes!N63)</f>
        <v/>
      </c>
      <c r="O63" s="24" t="str">
        <f>if(Actuals!P63 = "", "",Actuals!P63 + Strokes!O63)</f>
        <v/>
      </c>
      <c r="P63" s="24" t="str">
        <f>if(Actuals!Q63 = "", "",Actuals!Q63 + Strokes!P63)</f>
        <v/>
      </c>
      <c r="Q63" s="24" t="str">
        <f>if(Actuals!R63 = "", "",Actuals!R63 + Strokes!Q63)</f>
        <v/>
      </c>
    </row>
    <row r="64">
      <c r="A64" s="13" t="str">
        <f>Actuals!B64</f>
        <v>blank20</v>
      </c>
      <c r="B64" s="24" t="str">
        <f>if(Actuals!C64 = "", "",Actuals!C64 + Strokes!B64)</f>
        <v/>
      </c>
      <c r="C64" s="24" t="str">
        <f>if(Actuals!D64 = "", "",Actuals!D64 + Strokes!C64)</f>
        <v/>
      </c>
      <c r="D64" s="24" t="str">
        <f>if(Actuals!E64 = "", "",Actuals!E64 + Strokes!D64)</f>
        <v/>
      </c>
      <c r="E64" s="24" t="str">
        <f>if(Actuals!F64 = "", "",Actuals!F64 + Strokes!E64)</f>
        <v/>
      </c>
      <c r="F64" s="24" t="str">
        <f>if(Actuals!G64 = "", "",Actuals!G64 + Strokes!F64)</f>
        <v/>
      </c>
      <c r="G64" s="24" t="str">
        <f>if(Actuals!H64 = "", "",Actuals!H64 + Strokes!G64)</f>
        <v/>
      </c>
      <c r="H64" s="24" t="str">
        <f>if(Actuals!I64 = "", "",Actuals!I64 + Strokes!H64)</f>
        <v/>
      </c>
      <c r="I64" s="24" t="str">
        <f>if(Actuals!J64 = "", "",Actuals!J64 + Strokes!I64)</f>
        <v/>
      </c>
      <c r="J64" s="24" t="str">
        <f>if(Actuals!K64 = "", "",Actuals!K64 + Strokes!J64)</f>
        <v/>
      </c>
      <c r="K64" s="24" t="str">
        <f>if(Actuals!L64 = "", "",Actuals!L64 + Strokes!K64)</f>
        <v/>
      </c>
      <c r="L64" s="24" t="str">
        <f>if(Actuals!M64 = "", "",Actuals!M64 + Strokes!L64)</f>
        <v/>
      </c>
      <c r="M64" s="24" t="str">
        <f>if(Actuals!N64 = "", "",Actuals!N64 + Strokes!M64)</f>
        <v/>
      </c>
      <c r="N64" s="24" t="str">
        <f>if(Actuals!O64 = "", "",Actuals!O64 + Strokes!N64)</f>
        <v/>
      </c>
      <c r="O64" s="24" t="str">
        <f>if(Actuals!P64 = "", "",Actuals!P64 + Strokes!O64)</f>
        <v/>
      </c>
      <c r="P64" s="24" t="str">
        <f>if(Actuals!Q64 = "", "",Actuals!Q64 + Strokes!P64)</f>
        <v/>
      </c>
      <c r="Q64" s="24" t="str">
        <f>if(Actuals!R64 = "", "",Actuals!R64 + Strokes!Q64)</f>
        <v/>
      </c>
    </row>
    <row r="65">
      <c r="A65" s="13" t="str">
        <f>Actuals!B65</f>
        <v>blank21</v>
      </c>
      <c r="B65" s="24" t="str">
        <f>if(Actuals!C65 = "", "",Actuals!C65 + Strokes!B65)</f>
        <v/>
      </c>
      <c r="C65" s="24" t="str">
        <f>if(Actuals!D65 = "", "",Actuals!D65 + Strokes!C65)</f>
        <v/>
      </c>
      <c r="D65" s="24" t="str">
        <f>if(Actuals!E65 = "", "",Actuals!E65 + Strokes!D65)</f>
        <v/>
      </c>
      <c r="E65" s="24" t="str">
        <f>if(Actuals!F65 = "", "",Actuals!F65 + Strokes!E65)</f>
        <v/>
      </c>
      <c r="F65" s="24" t="str">
        <f>if(Actuals!G65 = "", "",Actuals!G65 + Strokes!F65)</f>
        <v/>
      </c>
      <c r="G65" s="24" t="str">
        <f>if(Actuals!H65 = "", "",Actuals!H65 + Strokes!G65)</f>
        <v/>
      </c>
      <c r="H65" s="24" t="str">
        <f>if(Actuals!I65 = "", "",Actuals!I65 + Strokes!H65)</f>
        <v/>
      </c>
      <c r="I65" s="24" t="str">
        <f>if(Actuals!J65 = "", "",Actuals!J65 + Strokes!I65)</f>
        <v/>
      </c>
      <c r="J65" s="24" t="str">
        <f>if(Actuals!K65 = "", "",Actuals!K65 + Strokes!J65)</f>
        <v/>
      </c>
      <c r="K65" s="24" t="str">
        <f>if(Actuals!L65 = "", "",Actuals!L65 + Strokes!K65)</f>
        <v/>
      </c>
      <c r="L65" s="24" t="str">
        <f>if(Actuals!M65 = "", "",Actuals!M65 + Strokes!L65)</f>
        <v/>
      </c>
      <c r="M65" s="24" t="str">
        <f>if(Actuals!N65 = "", "",Actuals!N65 + Strokes!M65)</f>
        <v/>
      </c>
      <c r="N65" s="24" t="str">
        <f>if(Actuals!O65 = "", "",Actuals!O65 + Strokes!N65)</f>
        <v/>
      </c>
      <c r="O65" s="24" t="str">
        <f>if(Actuals!P65 = "", "",Actuals!P65 + Strokes!O65)</f>
        <v/>
      </c>
      <c r="P65" s="24" t="str">
        <f>if(Actuals!Q65 = "", "",Actuals!Q65 + Strokes!P65)</f>
        <v/>
      </c>
      <c r="Q65" s="24" t="str">
        <f>if(Actuals!R65 = "", "",Actuals!R65 + Strokes!Q65)</f>
        <v/>
      </c>
    </row>
    <row r="66">
      <c r="A66" s="13"/>
      <c r="B66" s="24"/>
      <c r="C66" s="24"/>
      <c r="D66" s="24"/>
      <c r="E66" s="24"/>
      <c r="F66" s="25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</row>
    <row r="67">
      <c r="A67" s="13"/>
      <c r="B67" s="24"/>
      <c r="C67" s="24"/>
      <c r="D67" s="24"/>
      <c r="E67" s="24"/>
      <c r="F67" s="25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</row>
    <row r="68">
      <c r="A68" s="13" t="s">
        <v>31</v>
      </c>
      <c r="B68" s="24">
        <f t="shared" ref="B68:Q68" si="1">min(B4:B64)</f>
        <v>31.7</v>
      </c>
      <c r="C68" s="24">
        <f t="shared" si="1"/>
        <v>34.7</v>
      </c>
      <c r="D68" s="24">
        <f t="shared" si="1"/>
        <v>31.3</v>
      </c>
      <c r="E68" s="24">
        <f t="shared" si="1"/>
        <v>0</v>
      </c>
      <c r="F68" s="24">
        <f t="shared" si="1"/>
        <v>0</v>
      </c>
      <c r="G68" s="24">
        <f t="shared" si="1"/>
        <v>0</v>
      </c>
      <c r="H68" s="24">
        <f t="shared" si="1"/>
        <v>0</v>
      </c>
      <c r="I68" s="24">
        <f t="shared" si="1"/>
        <v>0</v>
      </c>
      <c r="J68" s="24">
        <f t="shared" si="1"/>
        <v>0</v>
      </c>
      <c r="K68" s="24">
        <f t="shared" si="1"/>
        <v>0</v>
      </c>
      <c r="L68" s="24">
        <f t="shared" si="1"/>
        <v>0</v>
      </c>
      <c r="M68" s="24">
        <f t="shared" si="1"/>
        <v>0</v>
      </c>
      <c r="N68" s="24">
        <f t="shared" si="1"/>
        <v>0</v>
      </c>
      <c r="O68" s="24">
        <f t="shared" si="1"/>
        <v>0</v>
      </c>
      <c r="P68" s="24">
        <f t="shared" si="1"/>
        <v>0</v>
      </c>
      <c r="Q68" s="24">
        <f t="shared" si="1"/>
        <v>0</v>
      </c>
    </row>
    <row r="69">
      <c r="A69" s="13"/>
      <c r="B69" s="24"/>
      <c r="C69" s="24"/>
      <c r="D69" s="24"/>
      <c r="E69" s="24"/>
      <c r="F69" s="25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</row>
    <row r="70">
      <c r="A70" s="13"/>
      <c r="B70" s="24"/>
      <c r="C70" s="24"/>
      <c r="D70" s="24"/>
      <c r="E70" s="24"/>
      <c r="F70" s="25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</row>
    <row r="71">
      <c r="A71" s="13"/>
      <c r="B71" s="24"/>
      <c r="C71" s="24"/>
      <c r="D71" s="24"/>
      <c r="E71" s="24"/>
      <c r="F71" s="25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</row>
    <row r="72">
      <c r="A72" s="13"/>
      <c r="B72" s="24"/>
      <c r="C72" s="24"/>
      <c r="D72" s="24"/>
      <c r="E72" s="24"/>
      <c r="F72" s="25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</row>
    <row r="73">
      <c r="A73" s="13"/>
      <c r="B73" s="24"/>
      <c r="C73" s="24"/>
      <c r="D73" s="24"/>
      <c r="E73" s="24"/>
      <c r="F73" s="25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</row>
    <row r="74">
      <c r="A74" s="13"/>
      <c r="B74" s="24"/>
      <c r="C74" s="24"/>
      <c r="D74" s="24"/>
      <c r="E74" s="24"/>
      <c r="F74" s="25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</row>
  </sheetData>
  <mergeCells count="1">
    <mergeCell ref="B1:Q1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4.0"/>
    <col customWidth="1" min="2" max="17" width="7.38"/>
    <col customWidth="1" min="18" max="18" width="8.13"/>
    <col customWidth="1" min="19" max="19" width="9.38"/>
    <col customWidth="1" min="20" max="20" width="9.75"/>
    <col customWidth="1" min="21" max="21" width="8.38"/>
    <col customWidth="1" min="22" max="22" width="6.13"/>
    <col customWidth="1" min="23" max="24" width="7.63"/>
    <col customWidth="1" min="25" max="25" width="9.5"/>
    <col customWidth="1" min="26" max="27" width="9.88"/>
  </cols>
  <sheetData>
    <row r="1">
      <c r="A1" s="26"/>
      <c r="B1" s="18" t="s">
        <v>32</v>
      </c>
      <c r="R1" s="20"/>
      <c r="S1" s="20"/>
      <c r="T1" s="20"/>
      <c r="U1" s="20"/>
      <c r="V1" s="20"/>
      <c r="W1" s="20"/>
      <c r="X1" s="20"/>
      <c r="Z1" s="27"/>
      <c r="AA1" s="27"/>
      <c r="AB1" s="27"/>
      <c r="AC1" s="27"/>
      <c r="AD1" s="27"/>
      <c r="AE1" s="27"/>
      <c r="AF1" s="27"/>
      <c r="AG1" s="27"/>
    </row>
    <row r="2">
      <c r="A2" s="26"/>
      <c r="B2" s="28">
        <v>46094.0</v>
      </c>
      <c r="C2" s="28">
        <v>46100.0</v>
      </c>
      <c r="D2" s="28">
        <f t="shared" ref="D2:M2" si="1">C2+7</f>
        <v>46107</v>
      </c>
      <c r="E2" s="28">
        <f t="shared" si="1"/>
        <v>46114</v>
      </c>
      <c r="F2" s="28">
        <f t="shared" si="1"/>
        <v>46121</v>
      </c>
      <c r="G2" s="28">
        <f t="shared" si="1"/>
        <v>46128</v>
      </c>
      <c r="H2" s="28">
        <f t="shared" si="1"/>
        <v>46135</v>
      </c>
      <c r="I2" s="28">
        <f t="shared" si="1"/>
        <v>46142</v>
      </c>
      <c r="J2" s="28">
        <f t="shared" si="1"/>
        <v>46149</v>
      </c>
      <c r="K2" s="28">
        <f t="shared" si="1"/>
        <v>46156</v>
      </c>
      <c r="L2" s="28">
        <f t="shared" si="1"/>
        <v>46163</v>
      </c>
      <c r="M2" s="28">
        <f t="shared" si="1"/>
        <v>46170</v>
      </c>
      <c r="N2" s="28">
        <v>45848.0</v>
      </c>
      <c r="O2" s="28">
        <f t="shared" ref="O2:P2" si="2">N2+7</f>
        <v>45855</v>
      </c>
      <c r="P2" s="28">
        <f t="shared" si="2"/>
        <v>45862</v>
      </c>
      <c r="Q2" s="28">
        <v>45869.0</v>
      </c>
      <c r="R2" s="20"/>
      <c r="S2" s="20"/>
      <c r="T2" s="20"/>
      <c r="U2" s="20"/>
      <c r="V2" s="20"/>
      <c r="W2" s="20"/>
      <c r="X2" s="20"/>
      <c r="Z2" s="27"/>
      <c r="AA2" s="27"/>
      <c r="AB2" s="27"/>
      <c r="AC2" s="27"/>
      <c r="AD2" s="27"/>
      <c r="AE2" s="27"/>
      <c r="AF2" s="27"/>
      <c r="AG2" s="27"/>
    </row>
    <row r="3">
      <c r="A3" s="26" t="s">
        <v>33</v>
      </c>
      <c r="B3" s="29">
        <v>1.0</v>
      </c>
      <c r="C3" s="29">
        <v>1.0</v>
      </c>
      <c r="D3" s="29">
        <v>1.0</v>
      </c>
      <c r="E3" s="29">
        <v>1.0</v>
      </c>
      <c r="F3" s="29">
        <v>2.0</v>
      </c>
      <c r="G3" s="29">
        <v>1.0</v>
      </c>
      <c r="H3" s="29">
        <v>1.0</v>
      </c>
      <c r="I3" s="29">
        <v>1.0</v>
      </c>
      <c r="J3" s="29">
        <v>1.0</v>
      </c>
      <c r="K3" s="29">
        <v>1.0</v>
      </c>
      <c r="L3" s="29">
        <v>1.0</v>
      </c>
      <c r="M3" s="29">
        <v>1.0</v>
      </c>
      <c r="N3" s="29">
        <v>1.0</v>
      </c>
      <c r="O3" s="29">
        <v>1.0</v>
      </c>
      <c r="P3" s="29">
        <v>1.0</v>
      </c>
      <c r="Q3" s="29">
        <v>1.0</v>
      </c>
      <c r="R3" s="20"/>
      <c r="S3" s="20"/>
      <c r="T3" s="20"/>
      <c r="U3" s="20"/>
      <c r="V3" s="20"/>
      <c r="W3" s="20"/>
      <c r="X3" s="20"/>
      <c r="Z3" s="27"/>
      <c r="AA3" s="27"/>
      <c r="AB3" s="27"/>
      <c r="AC3" s="27"/>
      <c r="AD3" s="27"/>
      <c r="AE3" s="27"/>
      <c r="AF3" s="27"/>
      <c r="AG3" s="27"/>
    </row>
    <row r="4">
      <c r="A4" s="26" t="s">
        <v>2</v>
      </c>
      <c r="B4" s="30" t="s">
        <v>3</v>
      </c>
      <c r="C4" s="30" t="s">
        <v>4</v>
      </c>
      <c r="D4" s="30" t="s">
        <v>5</v>
      </c>
      <c r="E4" s="30" t="s">
        <v>6</v>
      </c>
      <c r="F4" s="30" t="s">
        <v>34</v>
      </c>
      <c r="G4" s="30" t="s">
        <v>8</v>
      </c>
      <c r="H4" s="30" t="s">
        <v>9</v>
      </c>
      <c r="I4" s="30" t="s">
        <v>10</v>
      </c>
      <c r="J4" s="30" t="s">
        <v>11</v>
      </c>
      <c r="K4" s="30" t="s">
        <v>12</v>
      </c>
      <c r="L4" s="30" t="s">
        <v>13</v>
      </c>
      <c r="M4" s="30" t="s">
        <v>14</v>
      </c>
      <c r="N4" s="30" t="s">
        <v>15</v>
      </c>
      <c r="O4" s="30" t="s">
        <v>16</v>
      </c>
      <c r="P4" s="30" t="s">
        <v>17</v>
      </c>
      <c r="Q4" s="30" t="s">
        <v>18</v>
      </c>
      <c r="R4" s="30" t="s">
        <v>35</v>
      </c>
      <c r="S4" s="30" t="s">
        <v>36</v>
      </c>
      <c r="T4" s="30" t="s">
        <v>37</v>
      </c>
      <c r="U4" s="30" t="s">
        <v>38</v>
      </c>
      <c r="V4" s="30" t="s">
        <v>39</v>
      </c>
      <c r="W4" s="30" t="s">
        <v>40</v>
      </c>
      <c r="X4" s="30" t="s">
        <v>41</v>
      </c>
      <c r="Y4" s="31" t="s">
        <v>42</v>
      </c>
      <c r="Z4" s="30"/>
      <c r="AA4" s="30" t="s">
        <v>43</v>
      </c>
      <c r="AB4" s="30" t="s">
        <v>44</v>
      </c>
      <c r="AC4" s="27"/>
      <c r="AD4" s="27"/>
      <c r="AE4" s="27"/>
      <c r="AF4" s="27"/>
      <c r="AG4" s="27"/>
    </row>
    <row r="5">
      <c r="A5" s="26" t="str">
        <f>Actuals!B4</f>
        <v>Adrian C</v>
      </c>
      <c r="B5" s="30">
        <f>if( Actuals!$A4=1,0,(IF(WeeklyRankPoints!B4 &gt; 10,0,(IF(WeeklyRankPoints!B4 = 0,0,VLOOKUP(WeeklyRankPoints!B4,$AA$5:$AB$14,2))*B$3)) + IF(Actuals!C4  = "",0,10)))</f>
        <v>0</v>
      </c>
      <c r="C5" s="30">
        <f>if( Actuals!$A4=1,0,(IF(WeeklyRankPoints!C4 &gt; 10,0,(IF(WeeklyRankPoints!C4 = 0,0,VLOOKUP(WeeklyRankPoints!C4,$AA$5:$AB$14,2))*C$3)) + IF(Actuals!D4  = "",0,10)))</f>
        <v>0</v>
      </c>
      <c r="D5" s="30">
        <f>if( Actuals!$A4=1,0,(IF(WeeklyRankPoints!D4 &gt; 10,0,(IF(WeeklyRankPoints!D4 = 0,0,VLOOKUP(WeeklyRankPoints!D4,$AA$5:$AB$14,2))*D$3)) + IF(Actuals!E4  = "",0,10)))</f>
        <v>0</v>
      </c>
      <c r="E5" s="30">
        <f>if( Actuals!$A4=1,0,(IF(WeeklyRankPoints!E4 &gt; 10,0,(IF(WeeklyRankPoints!E4 = 0,0,VLOOKUP(WeeklyRankPoints!E4,$AA$5:$AB$14,2))*E$3)) + IF(Actuals!F4  = "",0,10)))</f>
        <v>0</v>
      </c>
      <c r="F5" s="30">
        <f>if( Actuals!$A4=1,0,(IF(WeeklyRankPoints!F4 &gt; 10,0,(IF(WeeklyRankPoints!F4 = 0,0,VLOOKUP(WeeklyRankPoints!F4,$AA$5:$AB$14,2))*F$3)) + IF(Actuals!G4  = "",0,10)))</f>
        <v>0</v>
      </c>
      <c r="G5" s="30">
        <f>if( Actuals!$A4=1,0,(IF(WeeklyRankPoints!G4 &gt; 10,0,(IF(WeeklyRankPoints!G4 = 0,0,VLOOKUP(WeeklyRankPoints!G4,$AA$5:$AB$14,2))*G$3)) + IF(Actuals!H4  = "",0,10)))</f>
        <v>0</v>
      </c>
      <c r="H5" s="30">
        <f>if( Actuals!$A4=1,0,(IF(WeeklyRankPoints!H4 &gt; 10,0,(IF(WeeklyRankPoints!H4 = 0,0,VLOOKUP(WeeklyRankPoints!H4,$AA$5:$AB$14,2))*H$3)) + IF(Actuals!I4  = "",0,10)))</f>
        <v>0</v>
      </c>
      <c r="I5" s="30">
        <f>if( Actuals!$A4=1,0,(IF(WeeklyRankPoints!I4 &gt; 10,0,(IF(WeeklyRankPoints!I4 = 0,0,VLOOKUP(WeeklyRankPoints!I4,$AA$5:$AB$14,2))*I$3)) + IF(Actuals!J4  = "",0,10)))</f>
        <v>0</v>
      </c>
      <c r="J5" s="30">
        <f>if( Actuals!$A4=1,0,(IF(WeeklyRankPoints!J4 &gt; 10,0,(IF(WeeklyRankPoints!J4 = 0,0,VLOOKUP(WeeklyRankPoints!J4,$AA$5:$AB$14,2))*J$3)) + IF(Actuals!K4  = "",0,10)))</f>
        <v>0</v>
      </c>
      <c r="K5" s="30">
        <f>if( Actuals!$A4=1,0,(IF(WeeklyRankPoints!K4 &gt; 10,0,(IF(WeeklyRankPoints!K4 = 0,0,VLOOKUP(WeeklyRankPoints!K4,$AA$5:$AB$14,2))*K$3)) + IF(Actuals!L4  = "",0,10)))</f>
        <v>0</v>
      </c>
      <c r="L5" s="30">
        <f>if( Actuals!$A4=1,0,(IF(WeeklyRankPoints!L4 &gt; 10,0,(IF(WeeklyRankPoints!L4 = 0,0,VLOOKUP(WeeklyRankPoints!L4,$AA$5:$AB$14,2))*L$3)) + IF(Actuals!M4  = "",0,10)))</f>
        <v>0</v>
      </c>
      <c r="M5" s="30">
        <f>if( Actuals!$A4=1,0,(IF(WeeklyRankPoints!M4 &gt; 10,0,(IF(WeeklyRankPoints!M4 = 0,0,VLOOKUP(WeeklyRankPoints!M4,$AA$5:$AB$14,2))*M$3)) + IF(Actuals!N4  = "",0,10)))</f>
        <v>0</v>
      </c>
      <c r="N5" s="30">
        <f>if( Actuals!$A4=1,0,(IF(WeeklyRankPoints!N4 &gt; 10,0,(IF(WeeklyRankPoints!N4 = 0,0,VLOOKUP(WeeklyRankPoints!N4,$AA$5:$AB$14,2))*N$3)) + IF(Actuals!O4  = "",0,10)))</f>
        <v>0</v>
      </c>
      <c r="O5" s="30">
        <f>if( Actuals!$A4=1,0,(IF(WeeklyRankPoints!O4 &gt; 10,0,(IF(WeeklyRankPoints!O4 = 0,0,VLOOKUP(WeeklyRankPoints!O4,$AA$5:$AB$14,2))*O$3)) + IF(Actuals!P4  = "",0,10)))</f>
        <v>0</v>
      </c>
      <c r="P5" s="30">
        <f>if( Actuals!$A4=1,0,(IF(WeeklyRankPoints!P4 &gt; 10,0,(IF(WeeklyRankPoints!P4 = 0,0,VLOOKUP(WeeklyRankPoints!P4,$AA$5:$AB$14,2))*P$3)) + IF(Actuals!Q4  = "",0,10)))</f>
        <v>0</v>
      </c>
      <c r="Q5" s="30">
        <f>if( Actuals!$A4=1,0,(IF(WeeklyRankPoints!Q4 &gt; 10,0,(IF(WeeklyRankPoints!Q4 = 0,0,VLOOKUP(WeeklyRankPoints!Q4,$AA$5:$AB$14,2))*Q$3)) + IF(Actuals!R4  = "",0,10)))</f>
        <v>0</v>
      </c>
      <c r="R5" s="32">
        <f t="shared" ref="R5:R66" si="3">SUM(B5:Q5)</f>
        <v>0</v>
      </c>
      <c r="S5" s="33">
        <f t="shared" ref="S5:S66" si="4">RANK(R5,R$5:R$66)</f>
        <v>17</v>
      </c>
      <c r="T5" s="30">
        <f>COUNT(Actuals!C4:R4)</f>
        <v>0</v>
      </c>
      <c r="U5" s="32">
        <f t="shared" ref="U5:U66" si="5">IF(T5&gt;0,R5/T5,0)</f>
        <v>0</v>
      </c>
      <c r="V5" s="20">
        <f>WeeklyRankMoney!R4</f>
        <v>0</v>
      </c>
      <c r="W5" s="20">
        <f>WeeklyRankMoney!S4</f>
        <v>0</v>
      </c>
      <c r="X5" s="20">
        <f>WeeklyRankMoney!T4</f>
        <v>0</v>
      </c>
      <c r="Y5" s="34">
        <f>Strokes!Q4</f>
        <v>-4.1</v>
      </c>
      <c r="Z5" s="30"/>
      <c r="AA5" s="30">
        <v>1.0</v>
      </c>
      <c r="AB5" s="30">
        <v>120.0</v>
      </c>
      <c r="AC5" s="27"/>
      <c r="AD5" s="35">
        <v>1.0</v>
      </c>
      <c r="AE5" s="36">
        <v>43181.0</v>
      </c>
      <c r="AF5" s="36"/>
      <c r="AG5" s="36"/>
    </row>
    <row r="6">
      <c r="A6" s="26" t="str">
        <f>Actuals!B5</f>
        <v>Alan D</v>
      </c>
      <c r="B6" s="30">
        <f>if( Actuals!$A5=1,0,(IF(WeeklyRankPoints!B5 &gt; 10,0,(IF(WeeklyRankPoints!B5 = 0,0,VLOOKUP(WeeklyRankPoints!B5,$AA$5:$AB$14,2))*B$3)) + IF(Actuals!C5  = "",0,10)))</f>
        <v>0</v>
      </c>
      <c r="C6" s="30">
        <f>if( Actuals!$A5=1,0,(IF(WeeklyRankPoints!C5 &gt; 10,0,(IF(WeeklyRankPoints!C5 = 0,0,VLOOKUP(WeeklyRankPoints!C5,$AA$5:$AB$14,2))*C$3)) + IF(Actuals!D5  = "",0,10)))</f>
        <v>0</v>
      </c>
      <c r="D6" s="30">
        <f>if( Actuals!$A5=1,0,(IF(WeeklyRankPoints!D5 &gt; 10,0,(IF(WeeklyRankPoints!D5 = 0,0,VLOOKUP(WeeklyRankPoints!D5,$AA$5:$AB$14,2))*D$3)) + IF(Actuals!E5  = "",0,10)))</f>
        <v>0</v>
      </c>
      <c r="E6" s="30">
        <f>if( Actuals!$A5=1,0,(IF(WeeklyRankPoints!E5 &gt; 10,0,(IF(WeeklyRankPoints!E5 = 0,0,VLOOKUP(WeeklyRankPoints!E5,$AA$5:$AB$14,2))*E$3)) + IF(Actuals!F5  = "",0,10)))</f>
        <v>0</v>
      </c>
      <c r="F6" s="30">
        <f>if( Actuals!$A5=1,0,(IF(WeeklyRankPoints!F5 &gt; 10,0,(IF(WeeklyRankPoints!F5 = 0,0,VLOOKUP(WeeklyRankPoints!F5,$AA$5:$AB$14,2))*F$3)) + IF(Actuals!G5  = "",0,10)))</f>
        <v>0</v>
      </c>
      <c r="G6" s="30">
        <f>if( Actuals!$A5=1,0,(IF(WeeklyRankPoints!G5 &gt; 10,0,(IF(WeeklyRankPoints!G5 = 0,0,VLOOKUP(WeeklyRankPoints!G5,$AA$5:$AB$14,2))*G$3)) + IF(Actuals!H5  = "",0,10)))</f>
        <v>0</v>
      </c>
      <c r="H6" s="30">
        <f>if( Actuals!$A5=1,0,(IF(WeeklyRankPoints!H5 &gt; 10,0,(IF(WeeklyRankPoints!H5 = 0,0,VLOOKUP(WeeklyRankPoints!H5,$AA$5:$AB$14,2))*H$3)) + IF(Actuals!I5  = "",0,10)))</f>
        <v>0</v>
      </c>
      <c r="I6" s="30">
        <f>if( Actuals!$A5=1,0,(IF(WeeklyRankPoints!I5 &gt; 10,0,(IF(WeeklyRankPoints!I5 = 0,0,VLOOKUP(WeeklyRankPoints!I5,$AA$5:$AB$14,2))*I$3)) + IF(Actuals!J5  = "",0,10)))</f>
        <v>0</v>
      </c>
      <c r="J6" s="30">
        <f>if( Actuals!$A5=1,0,(IF(WeeklyRankPoints!J5 &gt; 10,0,(IF(WeeklyRankPoints!J5 = 0,0,VLOOKUP(WeeklyRankPoints!J5,$AA$5:$AB$14,2))*J$3)) + IF(Actuals!K5  = "",0,10)))</f>
        <v>0</v>
      </c>
      <c r="K6" s="30">
        <f>if( Actuals!$A5=1,0,(IF(WeeklyRankPoints!K5 &gt; 10,0,(IF(WeeklyRankPoints!K5 = 0,0,VLOOKUP(WeeklyRankPoints!K5,$AA$5:$AB$14,2))*K$3)) + IF(Actuals!L5  = "",0,10)))</f>
        <v>0</v>
      </c>
      <c r="L6" s="30">
        <f>if( Actuals!$A5=1,0,(IF(WeeklyRankPoints!L5 &gt; 10,0,(IF(WeeklyRankPoints!L5 = 0,0,VLOOKUP(WeeklyRankPoints!L5,$AA$5:$AB$14,2))*L$3)) + IF(Actuals!M5  = "",0,10)))</f>
        <v>0</v>
      </c>
      <c r="M6" s="30">
        <f>if( Actuals!$A5=1,0,(IF(WeeklyRankPoints!M5 &gt; 10,0,(IF(WeeklyRankPoints!M5 = 0,0,VLOOKUP(WeeklyRankPoints!M5,$AA$5:$AB$14,2))*M$3)) + IF(Actuals!N5  = "",0,10)))</f>
        <v>0</v>
      </c>
      <c r="N6" s="30">
        <f>if( Actuals!$A5=1,0,(IF(WeeklyRankPoints!N5 &gt; 10,0,(IF(WeeklyRankPoints!N5 = 0,0,VLOOKUP(WeeklyRankPoints!N5,$AA$5:$AB$14,2))*N$3)) + IF(Actuals!O5  = "",0,10)))</f>
        <v>0</v>
      </c>
      <c r="O6" s="30">
        <f>if( Actuals!$A5=1,0,(IF(WeeklyRankPoints!O5 &gt; 10,0,(IF(WeeklyRankPoints!O5 = 0,0,VLOOKUP(WeeklyRankPoints!O5,$AA$5:$AB$14,2))*O$3)) + IF(Actuals!P5  = "",0,10)))</f>
        <v>0</v>
      </c>
      <c r="P6" s="30">
        <f>if( Actuals!$A5=1,0,(IF(WeeklyRankPoints!P5 &gt; 10,0,(IF(WeeklyRankPoints!P5 = 0,0,VLOOKUP(WeeklyRankPoints!P5,$AA$5:$AB$14,2))*P$3)) + IF(Actuals!Q5  = "",0,10)))</f>
        <v>0</v>
      </c>
      <c r="Q6" s="30">
        <f>if( Actuals!$A5=1,0,(IF(WeeklyRankPoints!Q5 &gt; 10,0,(IF(WeeklyRankPoints!Q5 = 0,0,VLOOKUP(WeeklyRankPoints!Q5,$AA$5:$AB$14,2))*Q$3)) + IF(Actuals!R5  = "",0,10)))</f>
        <v>0</v>
      </c>
      <c r="R6" s="32">
        <f t="shared" si="3"/>
        <v>0</v>
      </c>
      <c r="S6" s="33">
        <f t="shared" si="4"/>
        <v>17</v>
      </c>
      <c r="T6" s="30">
        <f>COUNT(Actuals!C5:R5)</f>
        <v>0</v>
      </c>
      <c r="U6" s="32">
        <f t="shared" si="5"/>
        <v>0</v>
      </c>
      <c r="V6" s="20">
        <f>WeeklyRankMoney!R5</f>
        <v>0</v>
      </c>
      <c r="W6" s="20">
        <f>WeeklyRankMoney!S5</f>
        <v>0</v>
      </c>
      <c r="X6" s="20">
        <f>WeeklyRankMoney!T5</f>
        <v>0</v>
      </c>
      <c r="Y6" s="34">
        <f>Strokes!Q5</f>
        <v>0.8</v>
      </c>
      <c r="Z6" s="30"/>
      <c r="AA6" s="30">
        <v>2.0</v>
      </c>
      <c r="AB6" s="30">
        <v>90.0</v>
      </c>
      <c r="AC6" s="27"/>
      <c r="AD6" s="35">
        <v>2.0</v>
      </c>
      <c r="AE6" s="36">
        <v>43188.0</v>
      </c>
      <c r="AF6" s="36"/>
      <c r="AG6" s="36"/>
    </row>
    <row r="7">
      <c r="A7" s="26" t="str">
        <f>Actuals!B6</f>
        <v>Baxter C</v>
      </c>
      <c r="B7" s="30">
        <f>if( Actuals!$A6=1,0,(IF(WeeklyRankPoints!B6 &gt; 10,0,(IF(WeeklyRankPoints!B6 = 0,0,VLOOKUP(WeeklyRankPoints!B6,$AA$5:$AB$14,2))*B$3)) + IF(Actuals!C6  = "",0,10)))</f>
        <v>0</v>
      </c>
      <c r="C7" s="30">
        <f>if( Actuals!$A6=1,0,(IF(WeeklyRankPoints!C6 &gt; 10,0,(IF(WeeklyRankPoints!C6 = 0,0,VLOOKUP(WeeklyRankPoints!C6,$AA$5:$AB$14,2))*C$3)) + IF(Actuals!D6  = "",0,10)))</f>
        <v>0</v>
      </c>
      <c r="D7" s="30">
        <f>if( Actuals!$A6=1,0,(IF(WeeklyRankPoints!D6 &gt; 10,0,(IF(WeeklyRankPoints!D6 = 0,0,VLOOKUP(WeeklyRankPoints!D6,$AA$5:$AB$14,2))*D$3)) + IF(Actuals!E6  = "",0,10)))</f>
        <v>0</v>
      </c>
      <c r="E7" s="30">
        <f>if( Actuals!$A6=1,0,(IF(WeeklyRankPoints!E6 &gt; 10,0,(IF(WeeklyRankPoints!E6 = 0,0,VLOOKUP(WeeklyRankPoints!E6,$AA$5:$AB$14,2))*E$3)) + IF(Actuals!F6  = "",0,10)))</f>
        <v>0</v>
      </c>
      <c r="F7" s="30">
        <f>if( Actuals!$A6=1,0,(IF(WeeklyRankPoints!F6 &gt; 10,0,(IF(WeeklyRankPoints!F6 = 0,0,VLOOKUP(WeeklyRankPoints!F6,$AA$5:$AB$14,2))*F$3)) + IF(Actuals!G6  = "",0,10)))</f>
        <v>0</v>
      </c>
      <c r="G7" s="30">
        <f>if( Actuals!$A6=1,0,(IF(WeeklyRankPoints!G6 &gt; 10,0,(IF(WeeklyRankPoints!G6 = 0,0,VLOOKUP(WeeklyRankPoints!G6,$AA$5:$AB$14,2))*G$3)) + IF(Actuals!H6  = "",0,10)))</f>
        <v>0</v>
      </c>
      <c r="H7" s="30">
        <f>if( Actuals!$A6=1,0,(IF(WeeklyRankPoints!H6 &gt; 10,0,(IF(WeeklyRankPoints!H6 = 0,0,VLOOKUP(WeeklyRankPoints!H6,$AA$5:$AB$14,2))*H$3)) + IF(Actuals!I6  = "",0,10)))</f>
        <v>0</v>
      </c>
      <c r="I7" s="30">
        <f>if( Actuals!$A6=1,0,(IF(WeeklyRankPoints!I6 &gt; 10,0,(IF(WeeklyRankPoints!I6 = 0,0,VLOOKUP(WeeklyRankPoints!I6,$AA$5:$AB$14,2))*I$3)) + IF(Actuals!J6  = "",0,10)))</f>
        <v>0</v>
      </c>
      <c r="J7" s="30">
        <f>if( Actuals!$A6=1,0,(IF(WeeklyRankPoints!J6 &gt; 10,0,(IF(WeeklyRankPoints!J6 = 0,0,VLOOKUP(WeeklyRankPoints!J6,$AA$5:$AB$14,2))*J$3)) + IF(Actuals!K6  = "",0,10)))</f>
        <v>0</v>
      </c>
      <c r="K7" s="30">
        <f>if( Actuals!$A6=1,0,(IF(WeeklyRankPoints!K6 &gt; 10,0,(IF(WeeklyRankPoints!K6 = 0,0,VLOOKUP(WeeklyRankPoints!K6,$AA$5:$AB$14,2))*K$3)) + IF(Actuals!L6  = "",0,10)))</f>
        <v>0</v>
      </c>
      <c r="L7" s="30">
        <f>if( Actuals!$A6=1,0,(IF(WeeklyRankPoints!L6 &gt; 10,0,(IF(WeeklyRankPoints!L6 = 0,0,VLOOKUP(WeeklyRankPoints!L6,$AA$5:$AB$14,2))*L$3)) + IF(Actuals!M6  = "",0,10)))</f>
        <v>0</v>
      </c>
      <c r="M7" s="30">
        <f>if( Actuals!$A6=1,0,(IF(WeeklyRankPoints!M6 &gt; 10,0,(IF(WeeklyRankPoints!M6 = 0,0,VLOOKUP(WeeklyRankPoints!M6,$AA$5:$AB$14,2))*M$3)) + IF(Actuals!N6  = "",0,10)))</f>
        <v>0</v>
      </c>
      <c r="N7" s="30">
        <f>if( Actuals!$A6=1,0,(IF(WeeklyRankPoints!N6 &gt; 10,0,(IF(WeeklyRankPoints!N6 = 0,0,VLOOKUP(WeeklyRankPoints!N6,$AA$5:$AB$14,2))*N$3)) + IF(Actuals!O6  = "",0,10)))</f>
        <v>0</v>
      </c>
      <c r="O7" s="30">
        <f>if( Actuals!$A6=1,0,(IF(WeeklyRankPoints!O6 &gt; 10,0,(IF(WeeklyRankPoints!O6 = 0,0,VLOOKUP(WeeklyRankPoints!O6,$AA$5:$AB$14,2))*O$3)) + IF(Actuals!P6  = "",0,10)))</f>
        <v>0</v>
      </c>
      <c r="P7" s="30">
        <f>if( Actuals!$A6=1,0,(IF(WeeklyRankPoints!P6 &gt; 10,0,(IF(WeeklyRankPoints!P6 = 0,0,VLOOKUP(WeeklyRankPoints!P6,$AA$5:$AB$14,2))*P$3)) + IF(Actuals!Q6  = "",0,10)))</f>
        <v>0</v>
      </c>
      <c r="Q7" s="30">
        <f>if( Actuals!$A6=1,0,(IF(WeeklyRankPoints!Q6 &gt; 10,0,(IF(WeeklyRankPoints!Q6 = 0,0,VLOOKUP(WeeklyRankPoints!Q6,$AA$5:$AB$14,2))*Q$3)) + IF(Actuals!R6  = "",0,10)))</f>
        <v>0</v>
      </c>
      <c r="R7" s="32">
        <f t="shared" si="3"/>
        <v>0</v>
      </c>
      <c r="S7" s="33">
        <f t="shared" si="4"/>
        <v>17</v>
      </c>
      <c r="T7" s="30">
        <f>COUNT(Actuals!C6:R6)</f>
        <v>0</v>
      </c>
      <c r="U7" s="32">
        <f t="shared" si="5"/>
        <v>0</v>
      </c>
      <c r="V7" s="20">
        <f>WeeklyRankMoney!R6</f>
        <v>0</v>
      </c>
      <c r="W7" s="20">
        <f>WeeklyRankMoney!S6</f>
        <v>0</v>
      </c>
      <c r="X7" s="20">
        <f>WeeklyRankMoney!T6</f>
        <v>0</v>
      </c>
      <c r="Y7" s="34">
        <f>Strokes!Q6</f>
        <v>0</v>
      </c>
      <c r="Z7" s="30"/>
      <c r="AA7" s="30">
        <v>3.0</v>
      </c>
      <c r="AB7" s="30">
        <v>65.0</v>
      </c>
      <c r="AC7" s="27"/>
      <c r="AD7" s="35">
        <v>3.0</v>
      </c>
      <c r="AE7" s="36">
        <v>43195.0</v>
      </c>
      <c r="AF7" s="36"/>
      <c r="AG7" s="36"/>
    </row>
    <row r="8">
      <c r="A8" s="26" t="str">
        <f>Actuals!B7</f>
        <v>Bill Morton</v>
      </c>
      <c r="B8" s="30">
        <f>if( Actuals!$A7=1,0,(IF(WeeklyRankPoints!B7 &gt; 10,0,(IF(WeeklyRankPoints!B7 = 0,0,VLOOKUP(WeeklyRankPoints!B7,$AA$5:$AB$14,2))*B$3)) + IF(Actuals!C7  = "",0,10)))</f>
        <v>0</v>
      </c>
      <c r="C8" s="30">
        <f>if( Actuals!$A7=1,0,(IF(WeeklyRankPoints!C7 &gt; 10,0,(IF(WeeklyRankPoints!C7 = 0,0,VLOOKUP(WeeklyRankPoints!C7,$AA$5:$AB$14,2))*C$3)) + IF(Actuals!D7  = "",0,10)))</f>
        <v>0</v>
      </c>
      <c r="D8" s="30">
        <f>if( Actuals!$A7=1,0,(IF(WeeklyRankPoints!D7 &gt; 10,0,(IF(WeeklyRankPoints!D7 = 0,0,VLOOKUP(WeeklyRankPoints!D7,$AA$5:$AB$14,2))*D$3)) + IF(Actuals!E7  = "",0,10)))</f>
        <v>0</v>
      </c>
      <c r="E8" s="30">
        <f>if( Actuals!$A7=1,0,(IF(WeeklyRankPoints!E7 &gt; 10,0,(IF(WeeklyRankPoints!E7 = 0,0,VLOOKUP(WeeklyRankPoints!E7,$AA$5:$AB$14,2))*E$3)) + IF(Actuals!F7  = "",0,10)))</f>
        <v>0</v>
      </c>
      <c r="F8" s="30">
        <f>if( Actuals!$A7=1,0,(IF(WeeklyRankPoints!F7 &gt; 10,0,(IF(WeeklyRankPoints!F7 = 0,0,VLOOKUP(WeeklyRankPoints!F7,$AA$5:$AB$14,2))*F$3)) + IF(Actuals!G7  = "",0,10)))</f>
        <v>0</v>
      </c>
      <c r="G8" s="30">
        <f>if( Actuals!$A7=1,0,(IF(WeeklyRankPoints!G7 &gt; 10,0,(IF(WeeklyRankPoints!G7 = 0,0,VLOOKUP(WeeklyRankPoints!G7,$AA$5:$AB$14,2))*G$3)) + IF(Actuals!H7  = "",0,10)))</f>
        <v>0</v>
      </c>
      <c r="H8" s="30">
        <f>if( Actuals!$A7=1,0,(IF(WeeklyRankPoints!H7 &gt; 10,0,(IF(WeeklyRankPoints!H7 = 0,0,VLOOKUP(WeeklyRankPoints!H7,$AA$5:$AB$14,2))*H$3)) + IF(Actuals!I7  = "",0,10)))</f>
        <v>0</v>
      </c>
      <c r="I8" s="30">
        <f>if( Actuals!$A7=1,0,(IF(WeeklyRankPoints!I7 &gt; 10,0,(IF(WeeklyRankPoints!I7 = 0,0,VLOOKUP(WeeklyRankPoints!I7,$AA$5:$AB$14,2))*I$3)) + IF(Actuals!J7  = "",0,10)))</f>
        <v>0</v>
      </c>
      <c r="J8" s="30">
        <f>if( Actuals!$A7=1,0,(IF(WeeklyRankPoints!J7 &gt; 10,0,(IF(WeeklyRankPoints!J7 = 0,0,VLOOKUP(WeeklyRankPoints!J7,$AA$5:$AB$14,2))*J$3)) + IF(Actuals!K7  = "",0,10)))</f>
        <v>0</v>
      </c>
      <c r="K8" s="30">
        <f>if( Actuals!$A7=1,0,(IF(WeeklyRankPoints!K7 &gt; 10,0,(IF(WeeklyRankPoints!K7 = 0,0,VLOOKUP(WeeklyRankPoints!K7,$AA$5:$AB$14,2))*K$3)) + IF(Actuals!L7  = "",0,10)))</f>
        <v>0</v>
      </c>
      <c r="L8" s="30">
        <f>if( Actuals!$A7=1,0,(IF(WeeklyRankPoints!L7 &gt; 10,0,(IF(WeeklyRankPoints!L7 = 0,0,VLOOKUP(WeeklyRankPoints!L7,$AA$5:$AB$14,2))*L$3)) + IF(Actuals!M7  = "",0,10)))</f>
        <v>0</v>
      </c>
      <c r="M8" s="30">
        <f>if( Actuals!$A7=1,0,(IF(WeeklyRankPoints!M7 &gt; 10,0,(IF(WeeklyRankPoints!M7 = 0,0,VLOOKUP(WeeklyRankPoints!M7,$AA$5:$AB$14,2))*M$3)) + IF(Actuals!N7  = "",0,10)))</f>
        <v>0</v>
      </c>
      <c r="N8" s="30">
        <f>if( Actuals!$A7=1,0,(IF(WeeklyRankPoints!N7 &gt; 10,0,(IF(WeeklyRankPoints!N7 = 0,0,VLOOKUP(WeeklyRankPoints!N7,$AA$5:$AB$14,2))*N$3)) + IF(Actuals!O7  = "",0,10)))</f>
        <v>0</v>
      </c>
      <c r="O8" s="30">
        <f>if( Actuals!$A7=1,0,(IF(WeeklyRankPoints!O7 &gt; 10,0,(IF(WeeklyRankPoints!O7 = 0,0,VLOOKUP(WeeklyRankPoints!O7,$AA$5:$AB$14,2))*O$3)) + IF(Actuals!P7  = "",0,10)))</f>
        <v>0</v>
      </c>
      <c r="P8" s="30">
        <f>if( Actuals!$A7=1,0,(IF(WeeklyRankPoints!P7 &gt; 10,0,(IF(WeeklyRankPoints!P7 = 0,0,VLOOKUP(WeeklyRankPoints!P7,$AA$5:$AB$14,2))*P$3)) + IF(Actuals!Q7  = "",0,10)))</f>
        <v>0</v>
      </c>
      <c r="Q8" s="30">
        <f>if( Actuals!$A7=1,0,(IF(WeeklyRankPoints!Q7 &gt; 10,0,(IF(WeeklyRankPoints!Q7 = 0,0,VLOOKUP(WeeklyRankPoints!Q7,$AA$5:$AB$14,2))*Q$3)) + IF(Actuals!R7  = "",0,10)))</f>
        <v>0</v>
      </c>
      <c r="R8" s="32">
        <f t="shared" si="3"/>
        <v>0</v>
      </c>
      <c r="S8" s="33">
        <f t="shared" si="4"/>
        <v>17</v>
      </c>
      <c r="T8" s="30">
        <f>COUNT(Actuals!C7:R7)</f>
        <v>0</v>
      </c>
      <c r="U8" s="32">
        <f t="shared" si="5"/>
        <v>0</v>
      </c>
      <c r="V8" s="20">
        <f>WeeklyRankMoney!R7</f>
        <v>0</v>
      </c>
      <c r="W8" s="20">
        <f>WeeklyRankMoney!S7</f>
        <v>0</v>
      </c>
      <c r="X8" s="20">
        <f>WeeklyRankMoney!T7</f>
        <v>0</v>
      </c>
      <c r="Y8" s="34">
        <f>Strokes!Q7</f>
        <v>-9.5</v>
      </c>
      <c r="Z8" s="30"/>
      <c r="AA8" s="30">
        <v>4.0</v>
      </c>
      <c r="AB8" s="30">
        <v>45.0</v>
      </c>
      <c r="AC8" s="27"/>
      <c r="AD8" s="35">
        <v>4.0</v>
      </c>
      <c r="AE8" s="36">
        <v>43202.0</v>
      </c>
      <c r="AF8" s="36"/>
      <c r="AG8" s="36"/>
    </row>
    <row r="9">
      <c r="A9" s="26" t="str">
        <f>Actuals!B8</f>
        <v>Brian M</v>
      </c>
      <c r="B9" s="30">
        <f>if( Actuals!$A8=1,0,(IF(WeeklyRankPoints!B8 &gt; 10,0,(IF(WeeklyRankPoints!B8 = 0,0,VLOOKUP(WeeklyRankPoints!B8,$AA$5:$AB$14,2))*B$3)) + IF(Actuals!C8  = "",0,10)))</f>
        <v>100</v>
      </c>
      <c r="C9" s="30">
        <f>if( Actuals!$A8=1,0,(IF(WeeklyRankPoints!C8 &gt; 10,0,(IF(WeeklyRankPoints!C8 = 0,0,VLOOKUP(WeeklyRankPoints!C8,$AA$5:$AB$14,2))*C$3)) + IF(Actuals!D8  = "",0,10)))</f>
        <v>130</v>
      </c>
      <c r="D9" s="30">
        <f>if( Actuals!$A8=1,0,(IF(WeeklyRankPoints!D8 &gt; 10,0,(IF(WeeklyRankPoints!D8 = 0,0,VLOOKUP(WeeklyRankPoints!D8,$AA$5:$AB$14,2))*D$3)) + IF(Actuals!E8  = "",0,10)))</f>
        <v>22</v>
      </c>
      <c r="E9" s="30">
        <f>if( Actuals!$A8=1,0,(IF(WeeklyRankPoints!E8 &gt; 10,0,(IF(WeeklyRankPoints!E8 = 0,0,VLOOKUP(WeeklyRankPoints!E8,$AA$5:$AB$14,2))*E$3)) + IF(Actuals!F8  = "",0,10)))</f>
        <v>0</v>
      </c>
      <c r="F9" s="30">
        <f>if( Actuals!$A8=1,0,(IF(WeeklyRankPoints!F8 &gt; 10,0,(IF(WeeklyRankPoints!F8 = 0,0,VLOOKUP(WeeklyRankPoints!F8,$AA$5:$AB$14,2))*F$3)) + IF(Actuals!G8  = "",0,10)))</f>
        <v>0</v>
      </c>
      <c r="G9" s="30">
        <f>if( Actuals!$A8=1,0,(IF(WeeklyRankPoints!G8 &gt; 10,0,(IF(WeeklyRankPoints!G8 = 0,0,VLOOKUP(WeeklyRankPoints!G8,$AA$5:$AB$14,2))*G$3)) + IF(Actuals!H8  = "",0,10)))</f>
        <v>0</v>
      </c>
      <c r="H9" s="30">
        <f>if( Actuals!$A8=1,0,(IF(WeeklyRankPoints!H8 &gt; 10,0,(IF(WeeklyRankPoints!H8 = 0,0,VLOOKUP(WeeklyRankPoints!H8,$AA$5:$AB$14,2))*H$3)) + IF(Actuals!I8  = "",0,10)))</f>
        <v>0</v>
      </c>
      <c r="I9" s="30">
        <f>if( Actuals!$A8=1,0,(IF(WeeklyRankPoints!I8 &gt; 10,0,(IF(WeeklyRankPoints!I8 = 0,0,VLOOKUP(WeeklyRankPoints!I8,$AA$5:$AB$14,2))*I$3)) + IF(Actuals!J8  = "",0,10)))</f>
        <v>0</v>
      </c>
      <c r="J9" s="30">
        <f>if( Actuals!$A8=1,0,(IF(WeeklyRankPoints!J8 &gt; 10,0,(IF(WeeklyRankPoints!J8 = 0,0,VLOOKUP(WeeklyRankPoints!J8,$AA$5:$AB$14,2))*J$3)) + IF(Actuals!K8  = "",0,10)))</f>
        <v>0</v>
      </c>
      <c r="K9" s="30">
        <f>if( Actuals!$A8=1,0,(IF(WeeklyRankPoints!K8 &gt; 10,0,(IF(WeeklyRankPoints!K8 = 0,0,VLOOKUP(WeeklyRankPoints!K8,$AA$5:$AB$14,2))*K$3)) + IF(Actuals!L8  = "",0,10)))</f>
        <v>0</v>
      </c>
      <c r="L9" s="30">
        <f>if( Actuals!$A8=1,0,(IF(WeeklyRankPoints!L8 &gt; 10,0,(IF(WeeklyRankPoints!L8 = 0,0,VLOOKUP(WeeklyRankPoints!L8,$AA$5:$AB$14,2))*L$3)) + IF(Actuals!M8  = "",0,10)))</f>
        <v>0</v>
      </c>
      <c r="M9" s="30">
        <f>if( Actuals!$A8=1,0,(IF(WeeklyRankPoints!M8 &gt; 10,0,(IF(WeeklyRankPoints!M8 = 0,0,VLOOKUP(WeeklyRankPoints!M8,$AA$5:$AB$14,2))*M$3)) + IF(Actuals!N8  = "",0,10)))</f>
        <v>0</v>
      </c>
      <c r="N9" s="30">
        <f>if( Actuals!$A8=1,0,(IF(WeeklyRankPoints!N8 &gt; 10,0,(IF(WeeklyRankPoints!N8 = 0,0,VLOOKUP(WeeklyRankPoints!N8,$AA$5:$AB$14,2))*N$3)) + IF(Actuals!O8  = "",0,10)))</f>
        <v>0</v>
      </c>
      <c r="O9" s="30">
        <f>if( Actuals!$A8=1,0,(IF(WeeklyRankPoints!O8 &gt; 10,0,(IF(WeeklyRankPoints!O8 = 0,0,VLOOKUP(WeeklyRankPoints!O8,$AA$5:$AB$14,2))*O$3)) + IF(Actuals!P8  = "",0,10)))</f>
        <v>0</v>
      </c>
      <c r="P9" s="30">
        <f>if( Actuals!$A8=1,0,(IF(WeeklyRankPoints!P8 &gt; 10,0,(IF(WeeklyRankPoints!P8 = 0,0,VLOOKUP(WeeklyRankPoints!P8,$AA$5:$AB$14,2))*P$3)) + IF(Actuals!Q8  = "",0,10)))</f>
        <v>0</v>
      </c>
      <c r="Q9" s="30">
        <f>if( Actuals!$A8=1,0,(IF(WeeklyRankPoints!Q8 &gt; 10,0,(IF(WeeklyRankPoints!Q8 = 0,0,VLOOKUP(WeeklyRankPoints!Q8,$AA$5:$AB$14,2))*Q$3)) + IF(Actuals!R8  = "",0,10)))</f>
        <v>0</v>
      </c>
      <c r="R9" s="32">
        <f t="shared" si="3"/>
        <v>252</v>
      </c>
      <c r="S9" s="33">
        <f t="shared" si="4"/>
        <v>1</v>
      </c>
      <c r="T9" s="30">
        <f>COUNT(Actuals!C8:R8)</f>
        <v>3</v>
      </c>
      <c r="U9" s="32">
        <f t="shared" si="5"/>
        <v>84</v>
      </c>
      <c r="V9" s="20">
        <f>WeeklyRankMoney!R8</f>
        <v>1</v>
      </c>
      <c r="W9" s="20">
        <f>WeeklyRankMoney!S8</f>
        <v>2</v>
      </c>
      <c r="X9" s="20">
        <f>WeeklyRankMoney!T8</f>
        <v>2</v>
      </c>
      <c r="Y9" s="34">
        <f>Strokes!Q8</f>
        <v>-3.5</v>
      </c>
      <c r="Z9" s="30"/>
      <c r="AA9" s="30">
        <v>5.0</v>
      </c>
      <c r="AB9" s="30">
        <v>30.0</v>
      </c>
      <c r="AC9" s="27"/>
      <c r="AD9" s="35">
        <v>5.0</v>
      </c>
      <c r="AE9" s="36">
        <v>43209.0</v>
      </c>
      <c r="AF9" s="36"/>
      <c r="AG9" s="36"/>
    </row>
    <row r="10">
      <c r="A10" s="26" t="str">
        <f>Actuals!B9</f>
        <v>Bruce Marburger</v>
      </c>
      <c r="B10" s="30">
        <f>if( Actuals!$A9=1,0,(IF(WeeklyRankPoints!B9 &gt; 10,0,(IF(WeeklyRankPoints!B9 = 0,0,VLOOKUP(WeeklyRankPoints!B9,$AA$5:$AB$14,2))*B$3)) + IF(Actuals!C9  = "",0,10)))</f>
        <v>16</v>
      </c>
      <c r="C10" s="30">
        <f>if( Actuals!$A9=1,0,(IF(WeeklyRankPoints!C9 &gt; 10,0,(IF(WeeklyRankPoints!C9 = 0,0,VLOOKUP(WeeklyRankPoints!C9,$AA$5:$AB$14,2))*C$3)) + IF(Actuals!D9  = "",0,10)))</f>
        <v>0</v>
      </c>
      <c r="D10" s="30">
        <f>if( Actuals!$A9=1,0,(IF(WeeklyRankPoints!D9 &gt; 10,0,(IF(WeeklyRankPoints!D9 = 0,0,VLOOKUP(WeeklyRankPoints!D9,$AA$5:$AB$14,2))*D$3)) + IF(Actuals!E9  = "",0,10)))</f>
        <v>0</v>
      </c>
      <c r="E10" s="30">
        <f>if( Actuals!$A9=1,0,(IF(WeeklyRankPoints!E9 &gt; 10,0,(IF(WeeklyRankPoints!E9 = 0,0,VLOOKUP(WeeklyRankPoints!E9,$AA$5:$AB$14,2))*E$3)) + IF(Actuals!F9  = "",0,10)))</f>
        <v>0</v>
      </c>
      <c r="F10" s="30">
        <f>if( Actuals!$A9=1,0,(IF(WeeklyRankPoints!F9 &gt; 10,0,(IF(WeeklyRankPoints!F9 = 0,0,VLOOKUP(WeeklyRankPoints!F9,$AA$5:$AB$14,2))*F$3)) + IF(Actuals!G9  = "",0,10)))</f>
        <v>0</v>
      </c>
      <c r="G10" s="30">
        <f>if( Actuals!$A9=1,0,(IF(WeeklyRankPoints!G9 &gt; 10,0,(IF(WeeklyRankPoints!G9 = 0,0,VLOOKUP(WeeklyRankPoints!G9,$AA$5:$AB$14,2))*G$3)) + IF(Actuals!H9  = "",0,10)))</f>
        <v>0</v>
      </c>
      <c r="H10" s="30">
        <f>if( Actuals!$A9=1,0,(IF(WeeklyRankPoints!H9 &gt; 10,0,(IF(WeeklyRankPoints!H9 = 0,0,VLOOKUP(WeeklyRankPoints!H9,$AA$5:$AB$14,2))*H$3)) + IF(Actuals!I9  = "",0,10)))</f>
        <v>0</v>
      </c>
      <c r="I10" s="30">
        <f>if( Actuals!$A9=1,0,(IF(WeeklyRankPoints!I9 &gt; 10,0,(IF(WeeklyRankPoints!I9 = 0,0,VLOOKUP(WeeklyRankPoints!I9,$AA$5:$AB$14,2))*I$3)) + IF(Actuals!J9  = "",0,10)))</f>
        <v>0</v>
      </c>
      <c r="J10" s="30">
        <f>if( Actuals!$A9=1,0,(IF(WeeklyRankPoints!J9 &gt; 10,0,(IF(WeeklyRankPoints!J9 = 0,0,VLOOKUP(WeeklyRankPoints!J9,$AA$5:$AB$14,2))*J$3)) + IF(Actuals!K9  = "",0,10)))</f>
        <v>0</v>
      </c>
      <c r="K10" s="30">
        <f>if( Actuals!$A9=1,0,(IF(WeeklyRankPoints!K9 &gt; 10,0,(IF(WeeklyRankPoints!K9 = 0,0,VLOOKUP(WeeklyRankPoints!K9,$AA$5:$AB$14,2))*K$3)) + IF(Actuals!L9  = "",0,10)))</f>
        <v>0</v>
      </c>
      <c r="L10" s="30">
        <f>if( Actuals!$A9=1,0,(IF(WeeklyRankPoints!L9 &gt; 10,0,(IF(WeeklyRankPoints!L9 = 0,0,VLOOKUP(WeeklyRankPoints!L9,$AA$5:$AB$14,2))*L$3)) + IF(Actuals!M9  = "",0,10)))</f>
        <v>0</v>
      </c>
      <c r="M10" s="30">
        <f>if( Actuals!$A9=1,0,(IF(WeeklyRankPoints!M9 &gt; 10,0,(IF(WeeklyRankPoints!M9 = 0,0,VLOOKUP(WeeklyRankPoints!M9,$AA$5:$AB$14,2))*M$3)) + IF(Actuals!N9  = "",0,10)))</f>
        <v>0</v>
      </c>
      <c r="N10" s="30">
        <f>if( Actuals!$A9=1,0,(IF(WeeklyRankPoints!N9 &gt; 10,0,(IF(WeeklyRankPoints!N9 = 0,0,VLOOKUP(WeeklyRankPoints!N9,$AA$5:$AB$14,2))*N$3)) + IF(Actuals!O9  = "",0,10)))</f>
        <v>0</v>
      </c>
      <c r="O10" s="30">
        <f>if( Actuals!$A9=1,0,(IF(WeeklyRankPoints!O9 &gt; 10,0,(IF(WeeklyRankPoints!O9 = 0,0,VLOOKUP(WeeklyRankPoints!O9,$AA$5:$AB$14,2))*O$3)) + IF(Actuals!P9  = "",0,10)))</f>
        <v>0</v>
      </c>
      <c r="P10" s="30">
        <f>if( Actuals!$A9=1,0,(IF(WeeklyRankPoints!P9 &gt; 10,0,(IF(WeeklyRankPoints!P9 = 0,0,VLOOKUP(WeeklyRankPoints!P9,$AA$5:$AB$14,2))*P$3)) + IF(Actuals!Q9  = "",0,10)))</f>
        <v>0</v>
      </c>
      <c r="Q10" s="30">
        <f>if( Actuals!$A9=1,0,(IF(WeeklyRankPoints!Q9 &gt; 10,0,(IF(WeeklyRankPoints!Q9 = 0,0,VLOOKUP(WeeklyRankPoints!Q9,$AA$5:$AB$14,2))*Q$3)) + IF(Actuals!R9  = "",0,10)))</f>
        <v>0</v>
      </c>
      <c r="R10" s="32">
        <f t="shared" si="3"/>
        <v>16</v>
      </c>
      <c r="S10" s="33">
        <f t="shared" si="4"/>
        <v>16</v>
      </c>
      <c r="T10" s="30">
        <f>COUNT(Actuals!C9:R9)</f>
        <v>1</v>
      </c>
      <c r="U10" s="32">
        <f t="shared" si="5"/>
        <v>16</v>
      </c>
      <c r="V10" s="20">
        <f>WeeklyRankMoney!R9</f>
        <v>0</v>
      </c>
      <c r="W10" s="20">
        <f>WeeklyRankMoney!S9</f>
        <v>0</v>
      </c>
      <c r="X10" s="20">
        <f>WeeklyRankMoney!T9</f>
        <v>0</v>
      </c>
      <c r="Y10" s="34">
        <f>Strokes!Q9</f>
        <v>-12.4</v>
      </c>
      <c r="Z10" s="30"/>
      <c r="AA10" s="30">
        <v>6.0</v>
      </c>
      <c r="AB10" s="30">
        <v>20.0</v>
      </c>
      <c r="AC10" s="27"/>
      <c r="AD10" s="35">
        <v>6.0</v>
      </c>
      <c r="AE10" s="36">
        <v>43216.0</v>
      </c>
      <c r="AF10" s="36"/>
      <c r="AG10" s="36"/>
    </row>
    <row r="11">
      <c r="A11" s="26" t="str">
        <f>Actuals!B10</f>
        <v>Cole L</v>
      </c>
      <c r="B11" s="30">
        <f>if( Actuals!$A10=1,0,(IF(WeeklyRankPoints!B10 &gt; 10,0,(IF(WeeklyRankPoints!B10 = 0,0,VLOOKUP(WeeklyRankPoints!B10,$AA$5:$AB$14,2))*B$3)) + IF(Actuals!C10  = "",0,10)))</f>
        <v>0</v>
      </c>
      <c r="C11" s="30">
        <f>if( Actuals!$A10=1,0,(IF(WeeklyRankPoints!C10 &gt; 10,0,(IF(WeeklyRankPoints!C10 = 0,0,VLOOKUP(WeeklyRankPoints!C10,$AA$5:$AB$14,2))*C$3)) + IF(Actuals!D10  = "",0,10)))</f>
        <v>0</v>
      </c>
      <c r="D11" s="30">
        <f>if( Actuals!$A10=1,0,(IF(WeeklyRankPoints!D10 &gt; 10,0,(IF(WeeklyRankPoints!D10 = 0,0,VLOOKUP(WeeklyRankPoints!D10,$AA$5:$AB$14,2))*D$3)) + IF(Actuals!E10  = "",0,10)))</f>
        <v>0</v>
      </c>
      <c r="E11" s="30">
        <f>if( Actuals!$A10=1,0,(IF(WeeklyRankPoints!E10 &gt; 10,0,(IF(WeeklyRankPoints!E10 = 0,0,VLOOKUP(WeeklyRankPoints!E10,$AA$5:$AB$14,2))*E$3)) + IF(Actuals!F10  = "",0,10)))</f>
        <v>0</v>
      </c>
      <c r="F11" s="30">
        <f>if( Actuals!$A10=1,0,(IF(WeeklyRankPoints!F10 &gt; 10,0,(IF(WeeklyRankPoints!F10 = 0,0,VLOOKUP(WeeklyRankPoints!F10,$AA$5:$AB$14,2))*F$3)) + IF(Actuals!G10  = "",0,10)))</f>
        <v>0</v>
      </c>
      <c r="G11" s="30">
        <f>if( Actuals!$A10=1,0,(IF(WeeklyRankPoints!G10 &gt; 10,0,(IF(WeeklyRankPoints!G10 = 0,0,VLOOKUP(WeeklyRankPoints!G10,$AA$5:$AB$14,2))*G$3)) + IF(Actuals!H10  = "",0,10)))</f>
        <v>0</v>
      </c>
      <c r="H11" s="30">
        <f>if( Actuals!$A10=1,0,(IF(WeeklyRankPoints!H10 &gt; 10,0,(IF(WeeklyRankPoints!H10 = 0,0,VLOOKUP(WeeklyRankPoints!H10,$AA$5:$AB$14,2))*H$3)) + IF(Actuals!I10  = "",0,10)))</f>
        <v>0</v>
      </c>
      <c r="I11" s="30">
        <f>if( Actuals!$A10=1,0,(IF(WeeklyRankPoints!I10 &gt; 10,0,(IF(WeeklyRankPoints!I10 = 0,0,VLOOKUP(WeeklyRankPoints!I10,$AA$5:$AB$14,2))*I$3)) + IF(Actuals!J10  = "",0,10)))</f>
        <v>0</v>
      </c>
      <c r="J11" s="30">
        <f>if( Actuals!$A10=1,0,(IF(WeeklyRankPoints!J10 &gt; 10,0,(IF(WeeklyRankPoints!J10 = 0,0,VLOOKUP(WeeklyRankPoints!J10,$AA$5:$AB$14,2))*J$3)) + IF(Actuals!K10  = "",0,10)))</f>
        <v>0</v>
      </c>
      <c r="K11" s="30">
        <f>if( Actuals!$A10=1,0,(IF(WeeklyRankPoints!K10 &gt; 10,0,(IF(WeeklyRankPoints!K10 = 0,0,VLOOKUP(WeeklyRankPoints!K10,$AA$5:$AB$14,2))*K$3)) + IF(Actuals!L10  = "",0,10)))</f>
        <v>0</v>
      </c>
      <c r="L11" s="30">
        <f>if( Actuals!$A10=1,0,(IF(WeeklyRankPoints!L10 &gt; 10,0,(IF(WeeklyRankPoints!L10 = 0,0,VLOOKUP(WeeklyRankPoints!L10,$AA$5:$AB$14,2))*L$3)) + IF(Actuals!M10  = "",0,10)))</f>
        <v>0</v>
      </c>
      <c r="M11" s="30">
        <f>if( Actuals!$A10=1,0,(IF(WeeklyRankPoints!M10 &gt; 10,0,(IF(WeeklyRankPoints!M10 = 0,0,VLOOKUP(WeeklyRankPoints!M10,$AA$5:$AB$14,2))*M$3)) + IF(Actuals!N10  = "",0,10)))</f>
        <v>0</v>
      </c>
      <c r="N11" s="30">
        <f>if( Actuals!$A10=1,0,(IF(WeeklyRankPoints!N10 &gt; 10,0,(IF(WeeklyRankPoints!N10 = 0,0,VLOOKUP(WeeklyRankPoints!N10,$AA$5:$AB$14,2))*N$3)) + IF(Actuals!O10  = "",0,10)))</f>
        <v>0</v>
      </c>
      <c r="O11" s="30">
        <f>if( Actuals!$A10=1,0,(IF(WeeklyRankPoints!O10 &gt; 10,0,(IF(WeeklyRankPoints!O10 = 0,0,VLOOKUP(WeeklyRankPoints!O10,$AA$5:$AB$14,2))*O$3)) + IF(Actuals!P10  = "",0,10)))</f>
        <v>0</v>
      </c>
      <c r="P11" s="30">
        <f>if( Actuals!$A10=1,0,(IF(WeeklyRankPoints!P10 &gt; 10,0,(IF(WeeklyRankPoints!P10 = 0,0,VLOOKUP(WeeklyRankPoints!P10,$AA$5:$AB$14,2))*P$3)) + IF(Actuals!Q10  = "",0,10)))</f>
        <v>0</v>
      </c>
      <c r="Q11" s="30">
        <f>if( Actuals!$A10=1,0,(IF(WeeklyRankPoints!Q10 &gt; 10,0,(IF(WeeklyRankPoints!Q10 = 0,0,VLOOKUP(WeeklyRankPoints!Q10,$AA$5:$AB$14,2))*Q$3)) + IF(Actuals!R10  = "",0,10)))</f>
        <v>0</v>
      </c>
      <c r="R11" s="32">
        <f t="shared" si="3"/>
        <v>0</v>
      </c>
      <c r="S11" s="33">
        <f t="shared" si="4"/>
        <v>17</v>
      </c>
      <c r="T11" s="30">
        <f>COUNT(Actuals!C10:R10)</f>
        <v>0</v>
      </c>
      <c r="U11" s="32">
        <f t="shared" si="5"/>
        <v>0</v>
      </c>
      <c r="V11" s="20">
        <f>WeeklyRankMoney!R10</f>
        <v>0</v>
      </c>
      <c r="W11" s="20">
        <f>WeeklyRankMoney!S10</f>
        <v>0</v>
      </c>
      <c r="X11" s="20">
        <f>WeeklyRankMoney!T10</f>
        <v>0</v>
      </c>
      <c r="Y11" s="34">
        <f>Strokes!Q10</f>
        <v>-2.8</v>
      </c>
      <c r="Z11" s="30"/>
      <c r="AA11" s="30">
        <v>7.0</v>
      </c>
      <c r="AB11" s="30">
        <v>16.0</v>
      </c>
      <c r="AC11" s="27"/>
      <c r="AD11" s="35">
        <v>7.0</v>
      </c>
      <c r="AE11" s="37">
        <v>43223.0</v>
      </c>
      <c r="AF11" s="37"/>
      <c r="AG11" s="37"/>
    </row>
    <row r="12">
      <c r="A12" s="26" t="str">
        <f>Actuals!B11</f>
        <v>Danny C</v>
      </c>
      <c r="B12" s="30">
        <f>if( Actuals!$A11=1,0,(IF(WeeklyRankPoints!B11 &gt; 10,0,(IF(WeeklyRankPoints!B11 = 0,0,VLOOKUP(WeeklyRankPoints!B11,$AA$5:$AB$14,2))*B$3)) + IF(Actuals!C11  = "",0,10)))</f>
        <v>0</v>
      </c>
      <c r="C12" s="30">
        <f>if( Actuals!$A11=1,0,(IF(WeeklyRankPoints!C11 &gt; 10,0,(IF(WeeklyRankPoints!C11 = 0,0,VLOOKUP(WeeklyRankPoints!C11,$AA$5:$AB$14,2))*C$3)) + IF(Actuals!D11  = "",0,10)))</f>
        <v>0</v>
      </c>
      <c r="D12" s="30">
        <f>if( Actuals!$A11=1,0,(IF(WeeklyRankPoints!D11 &gt; 10,0,(IF(WeeklyRankPoints!D11 = 0,0,VLOOKUP(WeeklyRankPoints!D11,$AA$5:$AB$14,2))*D$3)) + IF(Actuals!E11  = "",0,10)))</f>
        <v>0</v>
      </c>
      <c r="E12" s="30">
        <f>if( Actuals!$A11=1,0,(IF(WeeklyRankPoints!E11 &gt; 10,0,(IF(WeeklyRankPoints!E11 = 0,0,VLOOKUP(WeeklyRankPoints!E11,$AA$5:$AB$14,2))*E$3)) + IF(Actuals!F11  = "",0,10)))</f>
        <v>0</v>
      </c>
      <c r="F12" s="30">
        <f>if( Actuals!$A11=1,0,(IF(WeeklyRankPoints!F11 &gt; 10,0,(IF(WeeklyRankPoints!F11 = 0,0,VLOOKUP(WeeklyRankPoints!F11,$AA$5:$AB$14,2))*F$3)) + IF(Actuals!G11  = "",0,10)))</f>
        <v>0</v>
      </c>
      <c r="G12" s="30">
        <f>if( Actuals!$A11=1,0,(IF(WeeklyRankPoints!G11 &gt; 10,0,(IF(WeeklyRankPoints!G11 = 0,0,VLOOKUP(WeeklyRankPoints!G11,$AA$5:$AB$14,2))*G$3)) + IF(Actuals!H11  = "",0,10)))</f>
        <v>0</v>
      </c>
      <c r="H12" s="30">
        <f>if( Actuals!$A11=1,0,(IF(WeeklyRankPoints!H11 &gt; 10,0,(IF(WeeklyRankPoints!H11 = 0,0,VLOOKUP(WeeklyRankPoints!H11,$AA$5:$AB$14,2))*H$3)) + IF(Actuals!I11  = "",0,10)))</f>
        <v>0</v>
      </c>
      <c r="I12" s="30">
        <f>if( Actuals!$A11=1,0,(IF(WeeklyRankPoints!I11 &gt; 10,0,(IF(WeeklyRankPoints!I11 = 0,0,VLOOKUP(WeeklyRankPoints!I11,$AA$5:$AB$14,2))*I$3)) + IF(Actuals!J11  = "",0,10)))</f>
        <v>0</v>
      </c>
      <c r="J12" s="30">
        <f>if( Actuals!$A11=1,0,(IF(WeeklyRankPoints!J11 &gt; 10,0,(IF(WeeklyRankPoints!J11 = 0,0,VLOOKUP(WeeklyRankPoints!J11,$AA$5:$AB$14,2))*J$3)) + IF(Actuals!K11  = "",0,10)))</f>
        <v>0</v>
      </c>
      <c r="K12" s="30">
        <f>if( Actuals!$A11=1,0,(IF(WeeklyRankPoints!K11 &gt; 10,0,(IF(WeeklyRankPoints!K11 = 0,0,VLOOKUP(WeeklyRankPoints!K11,$AA$5:$AB$14,2))*K$3)) + IF(Actuals!L11  = "",0,10)))</f>
        <v>0</v>
      </c>
      <c r="L12" s="30">
        <f>if( Actuals!$A11=1,0,(IF(WeeklyRankPoints!L11 &gt; 10,0,(IF(WeeklyRankPoints!L11 = 0,0,VLOOKUP(WeeklyRankPoints!L11,$AA$5:$AB$14,2))*L$3)) + IF(Actuals!M11  = "",0,10)))</f>
        <v>0</v>
      </c>
      <c r="M12" s="30">
        <f>if( Actuals!$A11=1,0,(IF(WeeklyRankPoints!M11 &gt; 10,0,(IF(WeeklyRankPoints!M11 = 0,0,VLOOKUP(WeeklyRankPoints!M11,$AA$5:$AB$14,2))*M$3)) + IF(Actuals!N11  = "",0,10)))</f>
        <v>0</v>
      </c>
      <c r="N12" s="30">
        <f>if( Actuals!$A11=1,0,(IF(WeeklyRankPoints!N11 &gt; 10,0,(IF(WeeklyRankPoints!N11 = 0,0,VLOOKUP(WeeklyRankPoints!N11,$AA$5:$AB$14,2))*N$3)) + IF(Actuals!O11  = "",0,10)))</f>
        <v>0</v>
      </c>
      <c r="O12" s="30">
        <f>if( Actuals!$A11=1,0,(IF(WeeklyRankPoints!O11 &gt; 10,0,(IF(WeeklyRankPoints!O11 = 0,0,VLOOKUP(WeeklyRankPoints!O11,$AA$5:$AB$14,2))*O$3)) + IF(Actuals!P11  = "",0,10)))</f>
        <v>0</v>
      </c>
      <c r="P12" s="30">
        <f>if( Actuals!$A11=1,0,(IF(WeeklyRankPoints!P11 &gt; 10,0,(IF(WeeklyRankPoints!P11 = 0,0,VLOOKUP(WeeklyRankPoints!P11,$AA$5:$AB$14,2))*P$3)) + IF(Actuals!Q11  = "",0,10)))</f>
        <v>0</v>
      </c>
      <c r="Q12" s="30">
        <f>if( Actuals!$A11=1,0,(IF(WeeklyRankPoints!Q11 &gt; 10,0,(IF(WeeklyRankPoints!Q11 = 0,0,VLOOKUP(WeeklyRankPoints!Q11,$AA$5:$AB$14,2))*Q$3)) + IF(Actuals!R11  = "",0,10)))</f>
        <v>0</v>
      </c>
      <c r="R12" s="32">
        <f t="shared" si="3"/>
        <v>0</v>
      </c>
      <c r="S12" s="33">
        <f t="shared" si="4"/>
        <v>17</v>
      </c>
      <c r="T12" s="30">
        <f>COUNT(Actuals!C11:R11)</f>
        <v>0</v>
      </c>
      <c r="U12" s="32">
        <f t="shared" si="5"/>
        <v>0</v>
      </c>
      <c r="V12" s="20">
        <f>WeeklyRankMoney!R11</f>
        <v>0</v>
      </c>
      <c r="W12" s="20">
        <f>WeeklyRankMoney!S11</f>
        <v>0</v>
      </c>
      <c r="X12" s="20">
        <f>WeeklyRankMoney!T11</f>
        <v>0</v>
      </c>
      <c r="Y12" s="34">
        <f>Strokes!Q11</f>
        <v>-2.3</v>
      </c>
      <c r="Z12" s="30"/>
      <c r="AA12" s="30">
        <v>8.0</v>
      </c>
      <c r="AB12" s="30">
        <v>12.0</v>
      </c>
      <c r="AC12" s="27"/>
      <c r="AD12" s="35">
        <v>8.0</v>
      </c>
      <c r="AE12" s="37">
        <v>43230.0</v>
      </c>
      <c r="AF12" s="37"/>
      <c r="AG12" s="37"/>
    </row>
    <row r="13">
      <c r="A13" s="26" t="str">
        <f>Actuals!B12</f>
        <v>Eddie G</v>
      </c>
      <c r="B13" s="30">
        <f>if( Actuals!$A12=1,0,(IF(WeeklyRankPoints!B12 &gt; 10,0,(IF(WeeklyRankPoints!B12 = 0,0,VLOOKUP(WeeklyRankPoints!B12,$AA$5:$AB$14,2))*B$3)) + IF(Actuals!C12  = "",0,10)))</f>
        <v>0</v>
      </c>
      <c r="C13" s="30">
        <f>if( Actuals!$A12=1,0,(IF(WeeklyRankPoints!C12 &gt; 10,0,(IF(WeeklyRankPoints!C12 = 0,0,VLOOKUP(WeeklyRankPoints!C12,$AA$5:$AB$14,2))*C$3)) + IF(Actuals!D12  = "",0,10)))</f>
        <v>0</v>
      </c>
      <c r="D13" s="30">
        <f>if( Actuals!$A12=1,0,(IF(WeeklyRankPoints!D12 &gt; 10,0,(IF(WeeklyRankPoints!D12 = 0,0,VLOOKUP(WeeklyRankPoints!D12,$AA$5:$AB$14,2))*D$3)) + IF(Actuals!E12  = "",0,10)))</f>
        <v>0</v>
      </c>
      <c r="E13" s="30">
        <f>if( Actuals!$A12=1,0,(IF(WeeklyRankPoints!E12 &gt; 10,0,(IF(WeeklyRankPoints!E12 = 0,0,VLOOKUP(WeeklyRankPoints!E12,$AA$5:$AB$14,2))*E$3)) + IF(Actuals!F12  = "",0,10)))</f>
        <v>0</v>
      </c>
      <c r="F13" s="30">
        <f>if( Actuals!$A12=1,0,(IF(WeeklyRankPoints!F12 &gt; 10,0,(IF(WeeklyRankPoints!F12 = 0,0,VLOOKUP(WeeklyRankPoints!F12,$AA$5:$AB$14,2))*F$3)) + IF(Actuals!G12  = "",0,10)))</f>
        <v>0</v>
      </c>
      <c r="G13" s="30">
        <f>if( Actuals!$A12=1,0,(IF(WeeklyRankPoints!G12 &gt; 10,0,(IF(WeeklyRankPoints!G12 = 0,0,VLOOKUP(WeeklyRankPoints!G12,$AA$5:$AB$14,2))*G$3)) + IF(Actuals!H12  = "",0,10)))</f>
        <v>0</v>
      </c>
      <c r="H13" s="30">
        <f>if( Actuals!$A12=1,0,(IF(WeeklyRankPoints!H12 &gt; 10,0,(IF(WeeklyRankPoints!H12 = 0,0,VLOOKUP(WeeklyRankPoints!H12,$AA$5:$AB$14,2))*H$3)) + IF(Actuals!I12  = "",0,10)))</f>
        <v>0</v>
      </c>
      <c r="I13" s="30">
        <f>if( Actuals!$A12=1,0,(IF(WeeklyRankPoints!I12 &gt; 10,0,(IF(WeeklyRankPoints!I12 = 0,0,VLOOKUP(WeeklyRankPoints!I12,$AA$5:$AB$14,2))*I$3)) + IF(Actuals!J12  = "",0,10)))</f>
        <v>0</v>
      </c>
      <c r="J13" s="30">
        <f>if( Actuals!$A12=1,0,(IF(WeeklyRankPoints!J12 &gt; 10,0,(IF(WeeklyRankPoints!J12 = 0,0,VLOOKUP(WeeklyRankPoints!J12,$AA$5:$AB$14,2))*J$3)) + IF(Actuals!K12  = "",0,10)))</f>
        <v>0</v>
      </c>
      <c r="K13" s="30">
        <f>if( Actuals!$A12=1,0,(IF(WeeklyRankPoints!K12 &gt; 10,0,(IF(WeeklyRankPoints!K12 = 0,0,VLOOKUP(WeeklyRankPoints!K12,$AA$5:$AB$14,2))*K$3)) + IF(Actuals!L12  = "",0,10)))</f>
        <v>0</v>
      </c>
      <c r="L13" s="30">
        <f>if( Actuals!$A12=1,0,(IF(WeeklyRankPoints!L12 &gt; 10,0,(IF(WeeklyRankPoints!L12 = 0,0,VLOOKUP(WeeklyRankPoints!L12,$AA$5:$AB$14,2))*L$3)) + IF(Actuals!M12  = "",0,10)))</f>
        <v>0</v>
      </c>
      <c r="M13" s="30">
        <f>if( Actuals!$A12=1,0,(IF(WeeklyRankPoints!M12 &gt; 10,0,(IF(WeeklyRankPoints!M12 = 0,0,VLOOKUP(WeeklyRankPoints!M12,$AA$5:$AB$14,2))*M$3)) + IF(Actuals!N12  = "",0,10)))</f>
        <v>0</v>
      </c>
      <c r="N13" s="30">
        <f>if( Actuals!$A12=1,0,(IF(WeeklyRankPoints!N12 &gt; 10,0,(IF(WeeklyRankPoints!N12 = 0,0,VLOOKUP(WeeklyRankPoints!N12,$AA$5:$AB$14,2))*N$3)) + IF(Actuals!O12  = "",0,10)))</f>
        <v>0</v>
      </c>
      <c r="O13" s="30">
        <f>if( Actuals!$A12=1,0,(IF(WeeklyRankPoints!O12 &gt; 10,0,(IF(WeeklyRankPoints!O12 = 0,0,VLOOKUP(WeeklyRankPoints!O12,$AA$5:$AB$14,2))*O$3)) + IF(Actuals!P12  = "",0,10)))</f>
        <v>0</v>
      </c>
      <c r="P13" s="30">
        <f>if( Actuals!$A12=1,0,(IF(WeeklyRankPoints!P12 &gt; 10,0,(IF(WeeklyRankPoints!P12 = 0,0,VLOOKUP(WeeklyRankPoints!P12,$AA$5:$AB$14,2))*P$3)) + IF(Actuals!Q12  = "",0,10)))</f>
        <v>0</v>
      </c>
      <c r="Q13" s="30">
        <f>if( Actuals!$A12=1,0,(IF(WeeklyRankPoints!Q12 &gt; 10,0,(IF(WeeklyRankPoints!Q12 = 0,0,VLOOKUP(WeeklyRankPoints!Q12,$AA$5:$AB$14,2))*Q$3)) + IF(Actuals!R12  = "",0,10)))</f>
        <v>0</v>
      </c>
      <c r="R13" s="32">
        <f t="shared" si="3"/>
        <v>0</v>
      </c>
      <c r="S13" s="33">
        <f t="shared" si="4"/>
        <v>17</v>
      </c>
      <c r="T13" s="30">
        <f>COUNT(Actuals!C12:R12)</f>
        <v>1</v>
      </c>
      <c r="U13" s="32">
        <f t="shared" si="5"/>
        <v>0</v>
      </c>
      <c r="V13" s="20">
        <f>WeeklyRankMoney!R12</f>
        <v>0</v>
      </c>
      <c r="W13" s="20">
        <f>WeeklyRankMoney!S12</f>
        <v>0</v>
      </c>
      <c r="X13" s="20">
        <f>WeeklyRankMoney!T12</f>
        <v>0</v>
      </c>
      <c r="Y13" s="34">
        <f>Strokes!Q12</f>
        <v>-7.9</v>
      </c>
      <c r="Z13" s="30"/>
      <c r="AA13" s="30">
        <v>9.0</v>
      </c>
      <c r="AB13" s="30">
        <v>9.0</v>
      </c>
      <c r="AC13" s="27"/>
      <c r="AD13" s="35">
        <v>9.0</v>
      </c>
      <c r="AE13" s="37">
        <v>43237.0</v>
      </c>
      <c r="AF13" s="37"/>
      <c r="AG13" s="37"/>
    </row>
    <row r="14">
      <c r="A14" s="26" t="str">
        <f>Actuals!B13</f>
        <v>Grant G</v>
      </c>
      <c r="B14" s="30">
        <f>if( Actuals!$A13=1,0,(IF(WeeklyRankPoints!B13 &gt; 10,0,(IF(WeeklyRankPoints!B13 = 0,0,VLOOKUP(WeeklyRankPoints!B13,$AA$5:$AB$14,2))*B$3)) + IF(Actuals!C13  = "",0,10)))</f>
        <v>0</v>
      </c>
      <c r="C14" s="30">
        <f>if( Actuals!$A13=1,0,(IF(WeeklyRankPoints!C13 &gt; 10,0,(IF(WeeklyRankPoints!C13 = 0,0,VLOOKUP(WeeklyRankPoints!C13,$AA$5:$AB$14,2))*C$3)) + IF(Actuals!D13  = "",0,10)))</f>
        <v>0</v>
      </c>
      <c r="D14" s="30">
        <f>if( Actuals!$A13=1,0,(IF(WeeklyRankPoints!D13 &gt; 10,0,(IF(WeeklyRankPoints!D13 = 0,0,VLOOKUP(WeeklyRankPoints!D13,$AA$5:$AB$14,2))*D$3)) + IF(Actuals!E13  = "",0,10)))</f>
        <v>0</v>
      </c>
      <c r="E14" s="30">
        <f>if( Actuals!$A13=1,0,(IF(WeeklyRankPoints!E13 &gt; 10,0,(IF(WeeklyRankPoints!E13 = 0,0,VLOOKUP(WeeklyRankPoints!E13,$AA$5:$AB$14,2))*E$3)) + IF(Actuals!F13  = "",0,10)))</f>
        <v>0</v>
      </c>
      <c r="F14" s="30">
        <f>if( Actuals!$A13=1,0,(IF(WeeklyRankPoints!F13 &gt; 10,0,(IF(WeeklyRankPoints!F13 = 0,0,VLOOKUP(WeeklyRankPoints!F13,$AA$5:$AB$14,2))*F$3)) + IF(Actuals!G13  = "",0,10)))</f>
        <v>0</v>
      </c>
      <c r="G14" s="30">
        <f>if( Actuals!$A13=1,0,(IF(WeeklyRankPoints!G13 &gt; 10,0,(IF(WeeklyRankPoints!G13 = 0,0,VLOOKUP(WeeklyRankPoints!G13,$AA$5:$AB$14,2))*G$3)) + IF(Actuals!H13  = "",0,10)))</f>
        <v>0</v>
      </c>
      <c r="H14" s="30">
        <f>if( Actuals!$A13=1,0,(IF(WeeklyRankPoints!H13 &gt; 10,0,(IF(WeeklyRankPoints!H13 = 0,0,VLOOKUP(WeeklyRankPoints!H13,$AA$5:$AB$14,2))*H$3)) + IF(Actuals!I13  = "",0,10)))</f>
        <v>0</v>
      </c>
      <c r="I14" s="30">
        <f>if( Actuals!$A13=1,0,(IF(WeeklyRankPoints!I13 &gt; 10,0,(IF(WeeklyRankPoints!I13 = 0,0,VLOOKUP(WeeklyRankPoints!I13,$AA$5:$AB$14,2))*I$3)) + IF(Actuals!J13  = "",0,10)))</f>
        <v>0</v>
      </c>
      <c r="J14" s="30">
        <f>if( Actuals!$A13=1,0,(IF(WeeklyRankPoints!J13 &gt; 10,0,(IF(WeeklyRankPoints!J13 = 0,0,VLOOKUP(WeeklyRankPoints!J13,$AA$5:$AB$14,2))*J$3)) + IF(Actuals!K13  = "",0,10)))</f>
        <v>0</v>
      </c>
      <c r="K14" s="30">
        <f>if( Actuals!$A13=1,0,(IF(WeeklyRankPoints!K13 &gt; 10,0,(IF(WeeklyRankPoints!K13 = 0,0,VLOOKUP(WeeklyRankPoints!K13,$AA$5:$AB$14,2))*K$3)) + IF(Actuals!L13  = "",0,10)))</f>
        <v>0</v>
      </c>
      <c r="L14" s="30">
        <f>if( Actuals!$A13=1,0,(IF(WeeklyRankPoints!L13 &gt; 10,0,(IF(WeeklyRankPoints!L13 = 0,0,VLOOKUP(WeeklyRankPoints!L13,$AA$5:$AB$14,2))*L$3)) + IF(Actuals!M13  = "",0,10)))</f>
        <v>0</v>
      </c>
      <c r="M14" s="30">
        <f>if( Actuals!$A13=1,0,(IF(WeeklyRankPoints!M13 &gt; 10,0,(IF(WeeklyRankPoints!M13 = 0,0,VLOOKUP(WeeklyRankPoints!M13,$AA$5:$AB$14,2))*M$3)) + IF(Actuals!N13  = "",0,10)))</f>
        <v>0</v>
      </c>
      <c r="N14" s="30">
        <f>if( Actuals!$A13=1,0,(IF(WeeklyRankPoints!N13 &gt; 10,0,(IF(WeeklyRankPoints!N13 = 0,0,VLOOKUP(WeeklyRankPoints!N13,$AA$5:$AB$14,2))*N$3)) + IF(Actuals!O13  = "",0,10)))</f>
        <v>0</v>
      </c>
      <c r="O14" s="30">
        <f>if( Actuals!$A13=1,0,(IF(WeeklyRankPoints!O13 &gt; 10,0,(IF(WeeklyRankPoints!O13 = 0,0,VLOOKUP(WeeklyRankPoints!O13,$AA$5:$AB$14,2))*O$3)) + IF(Actuals!P13  = "",0,10)))</f>
        <v>0</v>
      </c>
      <c r="P14" s="30">
        <f>if( Actuals!$A13=1,0,(IF(WeeklyRankPoints!P13 &gt; 10,0,(IF(WeeklyRankPoints!P13 = 0,0,VLOOKUP(WeeklyRankPoints!P13,$AA$5:$AB$14,2))*P$3)) + IF(Actuals!Q13  = "",0,10)))</f>
        <v>0</v>
      </c>
      <c r="Q14" s="30">
        <f>if( Actuals!$A13=1,0,(IF(WeeklyRankPoints!Q13 &gt; 10,0,(IF(WeeklyRankPoints!Q13 = 0,0,VLOOKUP(WeeklyRankPoints!Q13,$AA$5:$AB$14,2))*Q$3)) + IF(Actuals!R13  = "",0,10)))</f>
        <v>0</v>
      </c>
      <c r="R14" s="32">
        <f t="shared" si="3"/>
        <v>0</v>
      </c>
      <c r="S14" s="33">
        <f t="shared" si="4"/>
        <v>17</v>
      </c>
      <c r="T14" s="30">
        <f>COUNT(Actuals!C13:R13)</f>
        <v>0</v>
      </c>
      <c r="U14" s="32">
        <f t="shared" si="5"/>
        <v>0</v>
      </c>
      <c r="V14" s="20">
        <f>WeeklyRankMoney!R13</f>
        <v>0</v>
      </c>
      <c r="W14" s="20">
        <f>WeeklyRankMoney!S13</f>
        <v>0</v>
      </c>
      <c r="X14" s="20">
        <f>WeeklyRankMoney!T13</f>
        <v>0</v>
      </c>
      <c r="Y14" s="34">
        <f>Strokes!Q13</f>
        <v>0</v>
      </c>
      <c r="Z14" s="30"/>
      <c r="AA14" s="30">
        <v>10.0</v>
      </c>
      <c r="AB14" s="30">
        <v>6.0</v>
      </c>
      <c r="AC14" s="27"/>
      <c r="AD14" s="35">
        <v>10.0</v>
      </c>
      <c r="AE14" s="37">
        <v>43244.0</v>
      </c>
      <c r="AF14" s="37"/>
      <c r="AG14" s="37"/>
    </row>
    <row r="15">
      <c r="A15" s="26" t="str">
        <f>Actuals!B14</f>
        <v>Jeff H</v>
      </c>
      <c r="B15" s="30">
        <f>if( Actuals!$A14=1,0,(IF(WeeklyRankPoints!B14 &gt; 10,0,(IF(WeeklyRankPoints!B14 = 0,0,VLOOKUP(WeeklyRankPoints!B14,$AA$5:$AB$14,2))*B$3)) + IF(Actuals!C14  = "",0,10)))</f>
        <v>0</v>
      </c>
      <c r="C15" s="30">
        <f>if( Actuals!$A14=1,0,(IF(WeeklyRankPoints!C14 &gt; 10,0,(IF(WeeklyRankPoints!C14 = 0,0,VLOOKUP(WeeklyRankPoints!C14,$AA$5:$AB$14,2))*C$3)) + IF(Actuals!D14  = "",0,10)))</f>
        <v>0</v>
      </c>
      <c r="D15" s="30">
        <f>if( Actuals!$A14=1,0,(IF(WeeklyRankPoints!D14 &gt; 10,0,(IF(WeeklyRankPoints!D14 = 0,0,VLOOKUP(WeeklyRankPoints!D14,$AA$5:$AB$14,2))*D$3)) + IF(Actuals!E14  = "",0,10)))</f>
        <v>0</v>
      </c>
      <c r="E15" s="30">
        <f>if( Actuals!$A14=1,0,(IF(WeeklyRankPoints!E14 &gt; 10,0,(IF(WeeklyRankPoints!E14 = 0,0,VLOOKUP(WeeklyRankPoints!E14,$AA$5:$AB$14,2))*E$3)) + IF(Actuals!F14  = "",0,10)))</f>
        <v>0</v>
      </c>
      <c r="F15" s="30">
        <f>if( Actuals!$A14=1,0,(IF(WeeklyRankPoints!F14 &gt; 10,0,(IF(WeeklyRankPoints!F14 = 0,0,VLOOKUP(WeeklyRankPoints!F14,$AA$5:$AB$14,2))*F$3)) + IF(Actuals!G14  = "",0,10)))</f>
        <v>0</v>
      </c>
      <c r="G15" s="30">
        <f>if( Actuals!$A14=1,0,(IF(WeeklyRankPoints!G14 &gt; 10,0,(IF(WeeklyRankPoints!G14 = 0,0,VLOOKUP(WeeklyRankPoints!G14,$AA$5:$AB$14,2))*G$3)) + IF(Actuals!H14  = "",0,10)))</f>
        <v>0</v>
      </c>
      <c r="H15" s="30">
        <f>if( Actuals!$A14=1,0,(IF(WeeklyRankPoints!H14 &gt; 10,0,(IF(WeeklyRankPoints!H14 = 0,0,VLOOKUP(WeeklyRankPoints!H14,$AA$5:$AB$14,2))*H$3)) + IF(Actuals!I14  = "",0,10)))</f>
        <v>0</v>
      </c>
      <c r="I15" s="30">
        <f>if( Actuals!$A14=1,0,(IF(WeeklyRankPoints!I14 &gt; 10,0,(IF(WeeklyRankPoints!I14 = 0,0,VLOOKUP(WeeklyRankPoints!I14,$AA$5:$AB$14,2))*I$3)) + IF(Actuals!J14  = "",0,10)))</f>
        <v>0</v>
      </c>
      <c r="J15" s="30">
        <f>if( Actuals!$A14=1,0,(IF(WeeklyRankPoints!J14 &gt; 10,0,(IF(WeeklyRankPoints!J14 = 0,0,VLOOKUP(WeeklyRankPoints!J14,$AA$5:$AB$14,2))*J$3)) + IF(Actuals!K14  = "",0,10)))</f>
        <v>0</v>
      </c>
      <c r="K15" s="30">
        <f>if( Actuals!$A14=1,0,(IF(WeeklyRankPoints!K14 &gt; 10,0,(IF(WeeklyRankPoints!K14 = 0,0,VLOOKUP(WeeklyRankPoints!K14,$AA$5:$AB$14,2))*K$3)) + IF(Actuals!L14  = "",0,10)))</f>
        <v>0</v>
      </c>
      <c r="L15" s="30">
        <f>if( Actuals!$A14=1,0,(IF(WeeklyRankPoints!L14 &gt; 10,0,(IF(WeeklyRankPoints!L14 = 0,0,VLOOKUP(WeeklyRankPoints!L14,$AA$5:$AB$14,2))*L$3)) + IF(Actuals!M14  = "",0,10)))</f>
        <v>0</v>
      </c>
      <c r="M15" s="30">
        <f>if( Actuals!$A14=1,0,(IF(WeeklyRankPoints!M14 &gt; 10,0,(IF(WeeklyRankPoints!M14 = 0,0,VLOOKUP(WeeklyRankPoints!M14,$AA$5:$AB$14,2))*M$3)) + IF(Actuals!N14  = "",0,10)))</f>
        <v>0</v>
      </c>
      <c r="N15" s="30">
        <f>if( Actuals!$A14=1,0,(IF(WeeklyRankPoints!N14 &gt; 10,0,(IF(WeeklyRankPoints!N14 = 0,0,VLOOKUP(WeeklyRankPoints!N14,$AA$5:$AB$14,2))*N$3)) + IF(Actuals!O14  = "",0,10)))</f>
        <v>0</v>
      </c>
      <c r="O15" s="30">
        <f>if( Actuals!$A14=1,0,(IF(WeeklyRankPoints!O14 &gt; 10,0,(IF(WeeklyRankPoints!O14 = 0,0,VLOOKUP(WeeklyRankPoints!O14,$AA$5:$AB$14,2))*O$3)) + IF(Actuals!P14  = "",0,10)))</f>
        <v>0</v>
      </c>
      <c r="P15" s="30">
        <f>if( Actuals!$A14=1,0,(IF(WeeklyRankPoints!P14 &gt; 10,0,(IF(WeeklyRankPoints!P14 = 0,0,VLOOKUP(WeeklyRankPoints!P14,$AA$5:$AB$14,2))*P$3)) + IF(Actuals!Q14  = "",0,10)))</f>
        <v>0</v>
      </c>
      <c r="Q15" s="30">
        <f>if( Actuals!$A14=1,0,(IF(WeeklyRankPoints!Q14 &gt; 10,0,(IF(WeeklyRankPoints!Q14 = 0,0,VLOOKUP(WeeklyRankPoints!Q14,$AA$5:$AB$14,2))*Q$3)) + IF(Actuals!R14  = "",0,10)))</f>
        <v>0</v>
      </c>
      <c r="R15" s="32">
        <f t="shared" si="3"/>
        <v>0</v>
      </c>
      <c r="S15" s="33">
        <f t="shared" si="4"/>
        <v>17</v>
      </c>
      <c r="T15" s="30">
        <f>COUNT(Actuals!C14:R14)</f>
        <v>0</v>
      </c>
      <c r="U15" s="32">
        <f t="shared" si="5"/>
        <v>0</v>
      </c>
      <c r="V15" s="20">
        <f>WeeklyRankMoney!R14</f>
        <v>0</v>
      </c>
      <c r="W15" s="20">
        <f>WeeklyRankMoney!S14</f>
        <v>0</v>
      </c>
      <c r="X15" s="20">
        <f>WeeklyRankMoney!T14</f>
        <v>0</v>
      </c>
      <c r="Y15" s="34">
        <f>Strokes!Q14</f>
        <v>-12.5</v>
      </c>
      <c r="Z15" s="27"/>
      <c r="AA15" s="27"/>
      <c r="AB15" s="27"/>
      <c r="AC15" s="27"/>
      <c r="AD15" s="35">
        <v>11.0</v>
      </c>
      <c r="AE15" s="37">
        <v>43251.0</v>
      </c>
      <c r="AF15" s="37"/>
      <c r="AG15" s="37"/>
    </row>
    <row r="16">
      <c r="A16" s="26" t="str">
        <f>Actuals!B15</f>
        <v>Jenna T</v>
      </c>
      <c r="B16" s="30">
        <f>if( Actuals!$A15=1,0,(IF(WeeklyRankPoints!B15 &gt; 10,0,(IF(WeeklyRankPoints!B15 = 0,0,VLOOKUP(WeeklyRankPoints!B15,$AA$5:$AB$14,2))*B$3)) + IF(Actuals!C15  = "",0,10)))</f>
        <v>0</v>
      </c>
      <c r="C16" s="30">
        <f>if( Actuals!$A15=1,0,(IF(WeeklyRankPoints!C15 &gt; 10,0,(IF(WeeklyRankPoints!C15 = 0,0,VLOOKUP(WeeklyRankPoints!C15,$AA$5:$AB$14,2))*C$3)) + IF(Actuals!D15  = "",0,10)))</f>
        <v>0</v>
      </c>
      <c r="D16" s="30">
        <f>if( Actuals!$A15=1,0,(IF(WeeklyRankPoints!D15 &gt; 10,0,(IF(WeeklyRankPoints!D15 = 0,0,VLOOKUP(WeeklyRankPoints!D15,$AA$5:$AB$14,2))*D$3)) + IF(Actuals!E15  = "",0,10)))</f>
        <v>0</v>
      </c>
      <c r="E16" s="30">
        <f>if( Actuals!$A15=1,0,(IF(WeeklyRankPoints!E15 &gt; 10,0,(IF(WeeklyRankPoints!E15 = 0,0,VLOOKUP(WeeklyRankPoints!E15,$AA$5:$AB$14,2))*E$3)) + IF(Actuals!F15  = "",0,10)))</f>
        <v>0</v>
      </c>
      <c r="F16" s="30">
        <f>if( Actuals!$A15=1,0,(IF(WeeklyRankPoints!F15 &gt; 10,0,(IF(WeeklyRankPoints!F15 = 0,0,VLOOKUP(WeeklyRankPoints!F15,$AA$5:$AB$14,2))*F$3)) + IF(Actuals!G15  = "",0,10)))</f>
        <v>0</v>
      </c>
      <c r="G16" s="30">
        <f>if( Actuals!$A15=1,0,(IF(WeeklyRankPoints!G15 &gt; 10,0,(IF(WeeklyRankPoints!G15 = 0,0,VLOOKUP(WeeklyRankPoints!G15,$AA$5:$AB$14,2))*G$3)) + IF(Actuals!H15  = "",0,10)))</f>
        <v>0</v>
      </c>
      <c r="H16" s="30">
        <f>if( Actuals!$A15=1,0,(IF(WeeklyRankPoints!H15 &gt; 10,0,(IF(WeeklyRankPoints!H15 = 0,0,VLOOKUP(WeeklyRankPoints!H15,$AA$5:$AB$14,2))*H$3)) + IF(Actuals!I15  = "",0,10)))</f>
        <v>0</v>
      </c>
      <c r="I16" s="30">
        <f>if( Actuals!$A15=1,0,(IF(WeeklyRankPoints!I15 &gt; 10,0,(IF(WeeklyRankPoints!I15 = 0,0,VLOOKUP(WeeklyRankPoints!I15,$AA$5:$AB$14,2))*I$3)) + IF(Actuals!J15  = "",0,10)))</f>
        <v>0</v>
      </c>
      <c r="J16" s="30">
        <f>if( Actuals!$A15=1,0,(IF(WeeklyRankPoints!J15 &gt; 10,0,(IF(WeeklyRankPoints!J15 = 0,0,VLOOKUP(WeeklyRankPoints!J15,$AA$5:$AB$14,2))*J$3)) + IF(Actuals!K15  = "",0,10)))</f>
        <v>0</v>
      </c>
      <c r="K16" s="30">
        <f>if( Actuals!$A15=1,0,(IF(WeeklyRankPoints!K15 &gt; 10,0,(IF(WeeklyRankPoints!K15 = 0,0,VLOOKUP(WeeklyRankPoints!K15,$AA$5:$AB$14,2))*K$3)) + IF(Actuals!L15  = "",0,10)))</f>
        <v>0</v>
      </c>
      <c r="L16" s="30">
        <f>if( Actuals!$A15=1,0,(IF(WeeklyRankPoints!L15 &gt; 10,0,(IF(WeeklyRankPoints!L15 = 0,0,VLOOKUP(WeeklyRankPoints!L15,$AA$5:$AB$14,2))*L$3)) + IF(Actuals!M15  = "",0,10)))</f>
        <v>0</v>
      </c>
      <c r="M16" s="30">
        <f>if( Actuals!$A15=1,0,(IF(WeeklyRankPoints!M15 &gt; 10,0,(IF(WeeklyRankPoints!M15 = 0,0,VLOOKUP(WeeklyRankPoints!M15,$AA$5:$AB$14,2))*M$3)) + IF(Actuals!N15  = "",0,10)))</f>
        <v>0</v>
      </c>
      <c r="N16" s="30">
        <f>if( Actuals!$A15=1,0,(IF(WeeklyRankPoints!N15 &gt; 10,0,(IF(WeeklyRankPoints!N15 = 0,0,VLOOKUP(WeeklyRankPoints!N15,$AA$5:$AB$14,2))*N$3)) + IF(Actuals!O15  = "",0,10)))</f>
        <v>0</v>
      </c>
      <c r="O16" s="30">
        <f>if( Actuals!$A15=1,0,(IF(WeeklyRankPoints!O15 &gt; 10,0,(IF(WeeklyRankPoints!O15 = 0,0,VLOOKUP(WeeklyRankPoints!O15,$AA$5:$AB$14,2))*O$3)) + IF(Actuals!P15  = "",0,10)))</f>
        <v>0</v>
      </c>
      <c r="P16" s="30">
        <f>if( Actuals!$A15=1,0,(IF(WeeklyRankPoints!P15 &gt; 10,0,(IF(WeeklyRankPoints!P15 = 0,0,VLOOKUP(WeeklyRankPoints!P15,$AA$5:$AB$14,2))*P$3)) + IF(Actuals!Q15  = "",0,10)))</f>
        <v>0</v>
      </c>
      <c r="Q16" s="30">
        <f>if( Actuals!$A15=1,0,(IF(WeeklyRankPoints!Q15 &gt; 10,0,(IF(WeeklyRankPoints!Q15 = 0,0,VLOOKUP(WeeklyRankPoints!Q15,$AA$5:$AB$14,2))*Q$3)) + IF(Actuals!R15  = "",0,10)))</f>
        <v>0</v>
      </c>
      <c r="R16" s="32">
        <f t="shared" si="3"/>
        <v>0</v>
      </c>
      <c r="S16" s="33">
        <f t="shared" si="4"/>
        <v>17</v>
      </c>
      <c r="T16" s="30">
        <f>COUNT(Actuals!C15:R15)</f>
        <v>0</v>
      </c>
      <c r="U16" s="32">
        <f t="shared" si="5"/>
        <v>0</v>
      </c>
      <c r="V16" s="20">
        <f>WeeklyRankMoney!R15</f>
        <v>0</v>
      </c>
      <c r="W16" s="20">
        <f>WeeklyRankMoney!S15</f>
        <v>0</v>
      </c>
      <c r="X16" s="20">
        <f>WeeklyRankMoney!T15</f>
        <v>0</v>
      </c>
      <c r="Y16" s="34">
        <f>Strokes!Q15</f>
        <v>-5.6</v>
      </c>
      <c r="Z16" s="27"/>
      <c r="AA16" s="27"/>
      <c r="AB16" s="27"/>
      <c r="AC16" s="27"/>
      <c r="AD16" s="35">
        <v>12.0</v>
      </c>
      <c r="AE16" s="36">
        <v>43258.0</v>
      </c>
      <c r="AF16" s="36"/>
      <c r="AG16" s="36"/>
    </row>
    <row r="17">
      <c r="A17" s="26" t="str">
        <f>Actuals!B16</f>
        <v>Jeremy H</v>
      </c>
      <c r="B17" s="30">
        <f>if( Actuals!$A16=1,0,(IF(WeeklyRankPoints!B16 &gt; 10,0,(IF(WeeklyRankPoints!B16 = 0,0,VLOOKUP(WeeklyRankPoints!B16,$AA$5:$AB$14,2))*B$3)) + IF(Actuals!C16  = "",0,10)))</f>
        <v>0</v>
      </c>
      <c r="C17" s="30">
        <f>if( Actuals!$A16=1,0,(IF(WeeklyRankPoints!C16 &gt; 10,0,(IF(WeeklyRankPoints!C16 = 0,0,VLOOKUP(WeeklyRankPoints!C16,$AA$5:$AB$14,2))*C$3)) + IF(Actuals!D16  = "",0,10)))</f>
        <v>0</v>
      </c>
      <c r="D17" s="30">
        <f>if( Actuals!$A16=1,0,(IF(WeeklyRankPoints!D16 &gt; 10,0,(IF(WeeklyRankPoints!D16 = 0,0,VLOOKUP(WeeklyRankPoints!D16,$AA$5:$AB$14,2))*D$3)) + IF(Actuals!E16  = "",0,10)))</f>
        <v>0</v>
      </c>
      <c r="E17" s="30">
        <f>if( Actuals!$A16=1,0,(IF(WeeklyRankPoints!E16 &gt; 10,0,(IF(WeeklyRankPoints!E16 = 0,0,VLOOKUP(WeeklyRankPoints!E16,$AA$5:$AB$14,2))*E$3)) + IF(Actuals!F16  = "",0,10)))</f>
        <v>0</v>
      </c>
      <c r="F17" s="30">
        <f>if( Actuals!$A16=1,0,(IF(WeeklyRankPoints!F16 &gt; 10,0,(IF(WeeklyRankPoints!F16 = 0,0,VLOOKUP(WeeklyRankPoints!F16,$AA$5:$AB$14,2))*F$3)) + IF(Actuals!G16  = "",0,10)))</f>
        <v>0</v>
      </c>
      <c r="G17" s="30">
        <f>if( Actuals!$A16=1,0,(IF(WeeklyRankPoints!G16 &gt; 10,0,(IF(WeeklyRankPoints!G16 = 0,0,VLOOKUP(WeeklyRankPoints!G16,$AA$5:$AB$14,2))*G$3)) + IF(Actuals!H16  = "",0,10)))</f>
        <v>0</v>
      </c>
      <c r="H17" s="30">
        <f>if( Actuals!$A16=1,0,(IF(WeeklyRankPoints!H16 &gt; 10,0,(IF(WeeklyRankPoints!H16 = 0,0,VLOOKUP(WeeklyRankPoints!H16,$AA$5:$AB$14,2))*H$3)) + IF(Actuals!I16  = "",0,10)))</f>
        <v>0</v>
      </c>
      <c r="I17" s="30">
        <f>if( Actuals!$A16=1,0,(IF(WeeklyRankPoints!I16 &gt; 10,0,(IF(WeeklyRankPoints!I16 = 0,0,VLOOKUP(WeeklyRankPoints!I16,$AA$5:$AB$14,2))*I$3)) + IF(Actuals!J16  = "",0,10)))</f>
        <v>0</v>
      </c>
      <c r="J17" s="30">
        <f>if( Actuals!$A16=1,0,(IF(WeeklyRankPoints!J16 &gt; 10,0,(IF(WeeklyRankPoints!J16 = 0,0,VLOOKUP(WeeklyRankPoints!J16,$AA$5:$AB$14,2))*J$3)) + IF(Actuals!K16  = "",0,10)))</f>
        <v>0</v>
      </c>
      <c r="K17" s="30">
        <f>if( Actuals!$A16=1,0,(IF(WeeklyRankPoints!K16 &gt; 10,0,(IF(WeeklyRankPoints!K16 = 0,0,VLOOKUP(WeeklyRankPoints!K16,$AA$5:$AB$14,2))*K$3)) + IF(Actuals!L16  = "",0,10)))</f>
        <v>0</v>
      </c>
      <c r="L17" s="30">
        <f>if( Actuals!$A16=1,0,(IF(WeeklyRankPoints!L16 &gt; 10,0,(IF(WeeklyRankPoints!L16 = 0,0,VLOOKUP(WeeklyRankPoints!L16,$AA$5:$AB$14,2))*L$3)) + IF(Actuals!M16  = "",0,10)))</f>
        <v>0</v>
      </c>
      <c r="M17" s="30">
        <f>if( Actuals!$A16=1,0,(IF(WeeklyRankPoints!M16 &gt; 10,0,(IF(WeeklyRankPoints!M16 = 0,0,VLOOKUP(WeeklyRankPoints!M16,$AA$5:$AB$14,2))*M$3)) + IF(Actuals!N16  = "",0,10)))</f>
        <v>0</v>
      </c>
      <c r="N17" s="30">
        <f>if( Actuals!$A16=1,0,(IF(WeeklyRankPoints!N16 &gt; 10,0,(IF(WeeklyRankPoints!N16 = 0,0,VLOOKUP(WeeklyRankPoints!N16,$AA$5:$AB$14,2))*N$3)) + IF(Actuals!O16  = "",0,10)))</f>
        <v>0</v>
      </c>
      <c r="O17" s="30">
        <f>if( Actuals!$A16=1,0,(IF(WeeklyRankPoints!O16 &gt; 10,0,(IF(WeeklyRankPoints!O16 = 0,0,VLOOKUP(WeeklyRankPoints!O16,$AA$5:$AB$14,2))*O$3)) + IF(Actuals!P16  = "",0,10)))</f>
        <v>0</v>
      </c>
      <c r="P17" s="30">
        <f>if( Actuals!$A16=1,0,(IF(WeeklyRankPoints!P16 &gt; 10,0,(IF(WeeklyRankPoints!P16 = 0,0,VLOOKUP(WeeklyRankPoints!P16,$AA$5:$AB$14,2))*P$3)) + IF(Actuals!Q16  = "",0,10)))</f>
        <v>0</v>
      </c>
      <c r="Q17" s="30">
        <f>if( Actuals!$A16=1,0,(IF(WeeklyRankPoints!Q16 &gt; 10,0,(IF(WeeklyRankPoints!Q16 = 0,0,VLOOKUP(WeeklyRankPoints!Q16,$AA$5:$AB$14,2))*Q$3)) + IF(Actuals!R16  = "",0,10)))</f>
        <v>0</v>
      </c>
      <c r="R17" s="32">
        <f t="shared" si="3"/>
        <v>0</v>
      </c>
      <c r="S17" s="33">
        <f t="shared" si="4"/>
        <v>17</v>
      </c>
      <c r="T17" s="30">
        <f>COUNT(Actuals!C16:R16)</f>
        <v>0</v>
      </c>
      <c r="U17" s="32">
        <f t="shared" si="5"/>
        <v>0</v>
      </c>
      <c r="V17" s="20">
        <f>WeeklyRankMoney!R16</f>
        <v>0</v>
      </c>
      <c r="W17" s="20">
        <f>WeeklyRankMoney!S16</f>
        <v>0</v>
      </c>
      <c r="X17" s="20">
        <f>WeeklyRankMoney!T16</f>
        <v>0</v>
      </c>
      <c r="Y17" s="34">
        <f>Strokes!Q16</f>
        <v>-3.1</v>
      </c>
      <c r="Z17" s="27"/>
      <c r="AA17" s="27"/>
      <c r="AB17" s="27"/>
      <c r="AC17" s="27"/>
      <c r="AD17" s="35">
        <v>13.0</v>
      </c>
      <c r="AE17" s="36">
        <v>43265.0</v>
      </c>
      <c r="AF17" s="36"/>
      <c r="AG17" s="36"/>
    </row>
    <row r="18">
      <c r="A18" s="26" t="str">
        <f>Actuals!B17</f>
        <v>Jeremy S</v>
      </c>
      <c r="B18" s="30">
        <f>if( Actuals!$A17=1,0,(IF(WeeklyRankPoints!B17 &gt; 10,0,(IF(WeeklyRankPoints!B17 = 0,0,VLOOKUP(WeeklyRankPoints!B17,$AA$5:$AB$14,2))*B$3)) + IF(Actuals!C17  = "",0,10)))</f>
        <v>0</v>
      </c>
      <c r="C18" s="30">
        <f>if( Actuals!$A17=1,0,(IF(WeeklyRankPoints!C17 &gt; 10,0,(IF(WeeklyRankPoints!C17 = 0,0,VLOOKUP(WeeklyRankPoints!C17,$AA$5:$AB$14,2))*C$3)) + IF(Actuals!D17  = "",0,10)))</f>
        <v>0</v>
      </c>
      <c r="D18" s="30">
        <f>if( Actuals!$A17=1,0,(IF(WeeklyRankPoints!D17 &gt; 10,0,(IF(WeeklyRankPoints!D17 = 0,0,VLOOKUP(WeeklyRankPoints!D17,$AA$5:$AB$14,2))*D$3)) + IF(Actuals!E17  = "",0,10)))</f>
        <v>0</v>
      </c>
      <c r="E18" s="30">
        <f>if( Actuals!$A17=1,0,(IF(WeeklyRankPoints!E17 &gt; 10,0,(IF(WeeklyRankPoints!E17 = 0,0,VLOOKUP(WeeklyRankPoints!E17,$AA$5:$AB$14,2))*E$3)) + IF(Actuals!F17  = "",0,10)))</f>
        <v>0</v>
      </c>
      <c r="F18" s="30">
        <f>if( Actuals!$A17=1,0,(IF(WeeklyRankPoints!F17 &gt; 10,0,(IF(WeeklyRankPoints!F17 = 0,0,VLOOKUP(WeeklyRankPoints!F17,$AA$5:$AB$14,2))*F$3)) + IF(Actuals!G17  = "",0,10)))</f>
        <v>0</v>
      </c>
      <c r="G18" s="30">
        <f>if( Actuals!$A17=1,0,(IF(WeeklyRankPoints!G17 &gt; 10,0,(IF(WeeklyRankPoints!G17 = 0,0,VLOOKUP(WeeklyRankPoints!G17,$AA$5:$AB$14,2))*G$3)) + IF(Actuals!H17  = "",0,10)))</f>
        <v>0</v>
      </c>
      <c r="H18" s="30">
        <f>if( Actuals!$A17=1,0,(IF(WeeklyRankPoints!H17 &gt; 10,0,(IF(WeeklyRankPoints!H17 = 0,0,VLOOKUP(WeeklyRankPoints!H17,$AA$5:$AB$14,2))*H$3)) + IF(Actuals!I17  = "",0,10)))</f>
        <v>0</v>
      </c>
      <c r="I18" s="30">
        <f>if( Actuals!$A17=1,0,(IF(WeeklyRankPoints!I17 &gt; 10,0,(IF(WeeklyRankPoints!I17 = 0,0,VLOOKUP(WeeklyRankPoints!I17,$AA$5:$AB$14,2))*I$3)) + IF(Actuals!J17  = "",0,10)))</f>
        <v>0</v>
      </c>
      <c r="J18" s="30">
        <f>if( Actuals!$A17=1,0,(IF(WeeklyRankPoints!J17 &gt; 10,0,(IF(WeeklyRankPoints!J17 = 0,0,VLOOKUP(WeeklyRankPoints!J17,$AA$5:$AB$14,2))*J$3)) + IF(Actuals!K17  = "",0,10)))</f>
        <v>0</v>
      </c>
      <c r="K18" s="30">
        <f>if( Actuals!$A17=1,0,(IF(WeeklyRankPoints!K17 &gt; 10,0,(IF(WeeklyRankPoints!K17 = 0,0,VLOOKUP(WeeklyRankPoints!K17,$AA$5:$AB$14,2))*K$3)) + IF(Actuals!L17  = "",0,10)))</f>
        <v>0</v>
      </c>
      <c r="L18" s="30">
        <f>if( Actuals!$A17=1,0,(IF(WeeklyRankPoints!L17 &gt; 10,0,(IF(WeeklyRankPoints!L17 = 0,0,VLOOKUP(WeeklyRankPoints!L17,$AA$5:$AB$14,2))*L$3)) + IF(Actuals!M17  = "",0,10)))</f>
        <v>0</v>
      </c>
      <c r="M18" s="30">
        <f>if( Actuals!$A17=1,0,(IF(WeeklyRankPoints!M17 &gt; 10,0,(IF(WeeklyRankPoints!M17 = 0,0,VLOOKUP(WeeklyRankPoints!M17,$AA$5:$AB$14,2))*M$3)) + IF(Actuals!N17  = "",0,10)))</f>
        <v>0</v>
      </c>
      <c r="N18" s="30">
        <f>if( Actuals!$A17=1,0,(IF(WeeklyRankPoints!N17 &gt; 10,0,(IF(WeeklyRankPoints!N17 = 0,0,VLOOKUP(WeeklyRankPoints!N17,$AA$5:$AB$14,2))*N$3)) + IF(Actuals!O17  = "",0,10)))</f>
        <v>0</v>
      </c>
      <c r="O18" s="30">
        <f>if( Actuals!$A17=1,0,(IF(WeeklyRankPoints!O17 &gt; 10,0,(IF(WeeklyRankPoints!O17 = 0,0,VLOOKUP(WeeklyRankPoints!O17,$AA$5:$AB$14,2))*O$3)) + IF(Actuals!P17  = "",0,10)))</f>
        <v>0</v>
      </c>
      <c r="P18" s="30">
        <f>if( Actuals!$A17=1,0,(IF(WeeklyRankPoints!P17 &gt; 10,0,(IF(WeeklyRankPoints!P17 = 0,0,VLOOKUP(WeeklyRankPoints!P17,$AA$5:$AB$14,2))*P$3)) + IF(Actuals!Q17  = "",0,10)))</f>
        <v>0</v>
      </c>
      <c r="Q18" s="30">
        <f>if( Actuals!$A17=1,0,(IF(WeeklyRankPoints!Q17 &gt; 10,0,(IF(WeeklyRankPoints!Q17 = 0,0,VLOOKUP(WeeklyRankPoints!Q17,$AA$5:$AB$14,2))*Q$3)) + IF(Actuals!R17  = "",0,10)))</f>
        <v>0</v>
      </c>
      <c r="R18" s="32">
        <f t="shared" si="3"/>
        <v>0</v>
      </c>
      <c r="S18" s="33">
        <f t="shared" si="4"/>
        <v>17</v>
      </c>
      <c r="T18" s="30">
        <f>COUNT(Actuals!C17:R17)</f>
        <v>0</v>
      </c>
      <c r="U18" s="32">
        <f t="shared" si="5"/>
        <v>0</v>
      </c>
      <c r="V18" s="20">
        <f>WeeklyRankMoney!R17</f>
        <v>0</v>
      </c>
      <c r="W18" s="20">
        <f>WeeklyRankMoney!S17</f>
        <v>0</v>
      </c>
      <c r="X18" s="20">
        <f>WeeklyRankMoney!T17</f>
        <v>0</v>
      </c>
      <c r="Y18" s="34">
        <f>Strokes!Q17</f>
        <v>-10.7</v>
      </c>
      <c r="Z18" s="27"/>
      <c r="AA18" s="27"/>
      <c r="AB18" s="27"/>
      <c r="AC18" s="27"/>
      <c r="AD18" s="35">
        <v>14.0</v>
      </c>
      <c r="AE18" s="36">
        <v>43272.0</v>
      </c>
      <c r="AF18" s="36"/>
      <c r="AG18" s="36"/>
    </row>
    <row r="19">
      <c r="A19" s="26" t="str">
        <f>Actuals!B18</f>
        <v>Jon L</v>
      </c>
      <c r="B19" s="30">
        <f>if( Actuals!$A18=1,0,(IF(WeeklyRankPoints!B18 &gt; 10,0,(IF(WeeklyRankPoints!B18 = 0,0,VLOOKUP(WeeklyRankPoints!B18,$AA$5:$AB$14,2))*B$3)) + IF(Actuals!C18  = "",0,10)))</f>
        <v>10</v>
      </c>
      <c r="C19" s="30">
        <f>if( Actuals!$A18=1,0,(IF(WeeklyRankPoints!C18 &gt; 10,0,(IF(WeeklyRankPoints!C18 = 0,0,VLOOKUP(WeeklyRankPoints!C18,$AA$5:$AB$14,2))*C$3)) + IF(Actuals!D18  = "",0,10)))</f>
        <v>75</v>
      </c>
      <c r="D19" s="30">
        <f>if( Actuals!$A18=1,0,(IF(WeeklyRankPoints!D18 &gt; 10,0,(IF(WeeklyRankPoints!D18 = 0,0,VLOOKUP(WeeklyRankPoints!D18,$AA$5:$AB$14,2))*D$3)) + IF(Actuals!E18  = "",0,10)))</f>
        <v>22</v>
      </c>
      <c r="E19" s="30">
        <f>if( Actuals!$A18=1,0,(IF(WeeklyRankPoints!E18 &gt; 10,0,(IF(WeeklyRankPoints!E18 = 0,0,VLOOKUP(WeeklyRankPoints!E18,$AA$5:$AB$14,2))*E$3)) + IF(Actuals!F18  = "",0,10)))</f>
        <v>0</v>
      </c>
      <c r="F19" s="30">
        <f>if( Actuals!$A18=1,0,(IF(WeeklyRankPoints!F18 &gt; 10,0,(IF(WeeklyRankPoints!F18 = 0,0,VLOOKUP(WeeklyRankPoints!F18,$AA$5:$AB$14,2))*F$3)) + IF(Actuals!G18  = "",0,10)))</f>
        <v>0</v>
      </c>
      <c r="G19" s="30">
        <f>if( Actuals!$A18=1,0,(IF(WeeklyRankPoints!G18 &gt; 10,0,(IF(WeeklyRankPoints!G18 = 0,0,VLOOKUP(WeeklyRankPoints!G18,$AA$5:$AB$14,2))*G$3)) + IF(Actuals!H18  = "",0,10)))</f>
        <v>0</v>
      </c>
      <c r="H19" s="30">
        <f>if( Actuals!$A18=1,0,(IF(WeeklyRankPoints!H18 &gt; 10,0,(IF(WeeklyRankPoints!H18 = 0,0,VLOOKUP(WeeklyRankPoints!H18,$AA$5:$AB$14,2))*H$3)) + IF(Actuals!I18  = "",0,10)))</f>
        <v>0</v>
      </c>
      <c r="I19" s="30">
        <f>if( Actuals!$A18=1,0,(IF(WeeklyRankPoints!I18 &gt; 10,0,(IF(WeeklyRankPoints!I18 = 0,0,VLOOKUP(WeeklyRankPoints!I18,$AA$5:$AB$14,2))*I$3)) + IF(Actuals!J18  = "",0,10)))</f>
        <v>0</v>
      </c>
      <c r="J19" s="30">
        <f>if( Actuals!$A18=1,0,(IF(WeeklyRankPoints!J18 &gt; 10,0,(IF(WeeklyRankPoints!J18 = 0,0,VLOOKUP(WeeklyRankPoints!J18,$AA$5:$AB$14,2))*J$3)) + IF(Actuals!K18  = "",0,10)))</f>
        <v>0</v>
      </c>
      <c r="K19" s="30">
        <f>if( Actuals!$A18=1,0,(IF(WeeklyRankPoints!K18 &gt; 10,0,(IF(WeeklyRankPoints!K18 = 0,0,VLOOKUP(WeeklyRankPoints!K18,$AA$5:$AB$14,2))*K$3)) + IF(Actuals!L18  = "",0,10)))</f>
        <v>0</v>
      </c>
      <c r="L19" s="30">
        <f>if( Actuals!$A18=1,0,(IF(WeeklyRankPoints!L18 &gt; 10,0,(IF(WeeklyRankPoints!L18 = 0,0,VLOOKUP(WeeklyRankPoints!L18,$AA$5:$AB$14,2))*L$3)) + IF(Actuals!M18  = "",0,10)))</f>
        <v>0</v>
      </c>
      <c r="M19" s="30">
        <f>if( Actuals!$A18=1,0,(IF(WeeklyRankPoints!M18 &gt; 10,0,(IF(WeeklyRankPoints!M18 = 0,0,VLOOKUP(WeeklyRankPoints!M18,$AA$5:$AB$14,2))*M$3)) + IF(Actuals!N18  = "",0,10)))</f>
        <v>0</v>
      </c>
      <c r="N19" s="30">
        <f>if( Actuals!$A18=1,0,(IF(WeeklyRankPoints!N18 &gt; 10,0,(IF(WeeklyRankPoints!N18 = 0,0,VLOOKUP(WeeklyRankPoints!N18,$AA$5:$AB$14,2))*N$3)) + IF(Actuals!O18  = "",0,10)))</f>
        <v>0</v>
      </c>
      <c r="O19" s="30">
        <f>if( Actuals!$A18=1,0,(IF(WeeklyRankPoints!O18 &gt; 10,0,(IF(WeeklyRankPoints!O18 = 0,0,VLOOKUP(WeeklyRankPoints!O18,$AA$5:$AB$14,2))*O$3)) + IF(Actuals!P18  = "",0,10)))</f>
        <v>0</v>
      </c>
      <c r="P19" s="30">
        <f>if( Actuals!$A18=1,0,(IF(WeeklyRankPoints!P18 &gt; 10,0,(IF(WeeklyRankPoints!P18 = 0,0,VLOOKUP(WeeklyRankPoints!P18,$AA$5:$AB$14,2))*P$3)) + IF(Actuals!Q18  = "",0,10)))</f>
        <v>0</v>
      </c>
      <c r="Q19" s="30">
        <f>if( Actuals!$A18=1,0,(IF(WeeklyRankPoints!Q18 &gt; 10,0,(IF(WeeklyRankPoints!Q18 = 0,0,VLOOKUP(WeeklyRankPoints!Q18,$AA$5:$AB$14,2))*Q$3)) + IF(Actuals!R18  = "",0,10)))</f>
        <v>0</v>
      </c>
      <c r="R19" s="32">
        <f t="shared" si="3"/>
        <v>107</v>
      </c>
      <c r="S19" s="33">
        <f t="shared" si="4"/>
        <v>7</v>
      </c>
      <c r="T19" s="30">
        <f>COUNT(Actuals!C18:R18)</f>
        <v>3</v>
      </c>
      <c r="U19" s="32">
        <f t="shared" si="5"/>
        <v>35.66666667</v>
      </c>
      <c r="V19" s="20">
        <f>WeeklyRankMoney!R18</f>
        <v>0</v>
      </c>
      <c r="W19" s="20">
        <f>WeeklyRankMoney!S18</f>
        <v>1</v>
      </c>
      <c r="X19" s="20">
        <f>WeeklyRankMoney!T18</f>
        <v>1</v>
      </c>
      <c r="Y19" s="34">
        <f>Strokes!Q18</f>
        <v>-6.7</v>
      </c>
      <c r="Z19" s="27"/>
      <c r="AA19" s="27"/>
      <c r="AB19" s="27"/>
      <c r="AC19" s="27"/>
      <c r="AD19" s="35">
        <v>15.0</v>
      </c>
      <c r="AE19" s="36">
        <v>43279.0</v>
      </c>
      <c r="AF19" s="36"/>
      <c r="AG19" s="36"/>
    </row>
    <row r="20">
      <c r="A20" s="26" t="str">
        <f>Actuals!B19</f>
        <v>Jonah R</v>
      </c>
      <c r="B20" s="30">
        <f>if( Actuals!$A19=1,0,(IF(WeeklyRankPoints!B19 &gt; 10,0,(IF(WeeklyRankPoints!B19 = 0,0,VLOOKUP(WeeklyRankPoints!B19,$AA$5:$AB$14,2))*B$3)) + IF(Actuals!C19  = "",0,10)))</f>
        <v>0</v>
      </c>
      <c r="C20" s="30">
        <f>if( Actuals!$A19=1,0,(IF(WeeklyRankPoints!C19 &gt; 10,0,(IF(WeeklyRankPoints!C19 = 0,0,VLOOKUP(WeeklyRankPoints!C19,$AA$5:$AB$14,2))*C$3)) + IF(Actuals!D19  = "",0,10)))</f>
        <v>40</v>
      </c>
      <c r="D20" s="30">
        <f>if( Actuals!$A19=1,0,(IF(WeeklyRankPoints!D19 &gt; 10,0,(IF(WeeklyRankPoints!D19 = 0,0,VLOOKUP(WeeklyRankPoints!D19,$AA$5:$AB$14,2))*D$3)) + IF(Actuals!E19  = "",0,10)))</f>
        <v>0</v>
      </c>
      <c r="E20" s="30">
        <f>if( Actuals!$A19=1,0,(IF(WeeklyRankPoints!E19 &gt; 10,0,(IF(WeeklyRankPoints!E19 = 0,0,VLOOKUP(WeeklyRankPoints!E19,$AA$5:$AB$14,2))*E$3)) + IF(Actuals!F19  = "",0,10)))</f>
        <v>0</v>
      </c>
      <c r="F20" s="30">
        <f>if( Actuals!$A19=1,0,(IF(WeeklyRankPoints!F19 &gt; 10,0,(IF(WeeklyRankPoints!F19 = 0,0,VLOOKUP(WeeklyRankPoints!F19,$AA$5:$AB$14,2))*F$3)) + IF(Actuals!G19  = "",0,10)))</f>
        <v>0</v>
      </c>
      <c r="G20" s="30">
        <f>if( Actuals!$A19=1,0,(IF(WeeklyRankPoints!G19 &gt; 10,0,(IF(WeeklyRankPoints!G19 = 0,0,VLOOKUP(WeeklyRankPoints!G19,$AA$5:$AB$14,2))*G$3)) + IF(Actuals!H19  = "",0,10)))</f>
        <v>0</v>
      </c>
      <c r="H20" s="30">
        <f>if( Actuals!$A19=1,0,(IF(WeeklyRankPoints!H19 &gt; 10,0,(IF(WeeklyRankPoints!H19 = 0,0,VLOOKUP(WeeklyRankPoints!H19,$AA$5:$AB$14,2))*H$3)) + IF(Actuals!I19  = "",0,10)))</f>
        <v>0</v>
      </c>
      <c r="I20" s="30">
        <f>if( Actuals!$A19=1,0,(IF(WeeklyRankPoints!I19 &gt; 10,0,(IF(WeeklyRankPoints!I19 = 0,0,VLOOKUP(WeeklyRankPoints!I19,$AA$5:$AB$14,2))*I$3)) + IF(Actuals!J19  = "",0,10)))</f>
        <v>0</v>
      </c>
      <c r="J20" s="30">
        <f>if( Actuals!$A19=1,0,(IF(WeeklyRankPoints!J19 &gt; 10,0,(IF(WeeklyRankPoints!J19 = 0,0,VLOOKUP(WeeklyRankPoints!J19,$AA$5:$AB$14,2))*J$3)) + IF(Actuals!K19  = "",0,10)))</f>
        <v>0</v>
      </c>
      <c r="K20" s="30">
        <f>if( Actuals!$A19=1,0,(IF(WeeklyRankPoints!K19 &gt; 10,0,(IF(WeeklyRankPoints!K19 = 0,0,VLOOKUP(WeeklyRankPoints!K19,$AA$5:$AB$14,2))*K$3)) + IF(Actuals!L19  = "",0,10)))</f>
        <v>0</v>
      </c>
      <c r="L20" s="30">
        <f>if( Actuals!$A19=1,0,(IF(WeeklyRankPoints!L19 &gt; 10,0,(IF(WeeklyRankPoints!L19 = 0,0,VLOOKUP(WeeklyRankPoints!L19,$AA$5:$AB$14,2))*L$3)) + IF(Actuals!M19  = "",0,10)))</f>
        <v>0</v>
      </c>
      <c r="M20" s="30">
        <f>if( Actuals!$A19=1,0,(IF(WeeklyRankPoints!M19 &gt; 10,0,(IF(WeeklyRankPoints!M19 = 0,0,VLOOKUP(WeeklyRankPoints!M19,$AA$5:$AB$14,2))*M$3)) + IF(Actuals!N19  = "",0,10)))</f>
        <v>0</v>
      </c>
      <c r="N20" s="30">
        <f>if( Actuals!$A19=1,0,(IF(WeeklyRankPoints!N19 &gt; 10,0,(IF(WeeklyRankPoints!N19 = 0,0,VLOOKUP(WeeklyRankPoints!N19,$AA$5:$AB$14,2))*N$3)) + IF(Actuals!O19  = "",0,10)))</f>
        <v>0</v>
      </c>
      <c r="O20" s="30">
        <f>if( Actuals!$A19=1,0,(IF(WeeklyRankPoints!O19 &gt; 10,0,(IF(WeeklyRankPoints!O19 = 0,0,VLOOKUP(WeeklyRankPoints!O19,$AA$5:$AB$14,2))*O$3)) + IF(Actuals!P19  = "",0,10)))</f>
        <v>0</v>
      </c>
      <c r="P20" s="30">
        <f>if( Actuals!$A19=1,0,(IF(WeeklyRankPoints!P19 &gt; 10,0,(IF(WeeklyRankPoints!P19 = 0,0,VLOOKUP(WeeklyRankPoints!P19,$AA$5:$AB$14,2))*P$3)) + IF(Actuals!Q19  = "",0,10)))</f>
        <v>0</v>
      </c>
      <c r="Q20" s="30">
        <f>if( Actuals!$A19=1,0,(IF(WeeklyRankPoints!Q19 &gt; 10,0,(IF(WeeklyRankPoints!Q19 = 0,0,VLOOKUP(WeeklyRankPoints!Q19,$AA$5:$AB$14,2))*Q$3)) + IF(Actuals!R19  = "",0,10)))</f>
        <v>0</v>
      </c>
      <c r="R20" s="32">
        <f t="shared" si="3"/>
        <v>40</v>
      </c>
      <c r="S20" s="33">
        <f t="shared" si="4"/>
        <v>14</v>
      </c>
      <c r="T20" s="30">
        <f>COUNT(Actuals!C19:R19)</f>
        <v>1</v>
      </c>
      <c r="U20" s="32">
        <f t="shared" si="5"/>
        <v>40</v>
      </c>
      <c r="V20" s="20">
        <f>WeeklyRankMoney!R19</f>
        <v>0</v>
      </c>
      <c r="W20" s="20">
        <f>WeeklyRankMoney!S19</f>
        <v>0</v>
      </c>
      <c r="X20" s="20">
        <f>WeeklyRankMoney!T19</f>
        <v>1</v>
      </c>
      <c r="Y20" s="34">
        <f>Strokes!Q19</f>
        <v>-9.6</v>
      </c>
      <c r="Z20" s="27"/>
      <c r="AA20" s="27"/>
      <c r="AB20" s="27"/>
      <c r="AC20" s="27"/>
      <c r="AD20" s="35">
        <v>16.0</v>
      </c>
      <c r="AE20" s="36">
        <v>43286.0</v>
      </c>
      <c r="AF20" s="36"/>
      <c r="AG20" s="36"/>
    </row>
    <row r="21">
      <c r="A21" s="26" t="str">
        <f>Actuals!B20</f>
        <v>Jordan V</v>
      </c>
      <c r="B21" s="30">
        <f>if( Actuals!$A20=1,0,(IF(WeeklyRankPoints!B20 &gt; 10,0,(IF(WeeklyRankPoints!B20 = 0,0,VLOOKUP(WeeklyRankPoints!B20,$AA$5:$AB$14,2))*B$3)) + IF(Actuals!C20  = "",0,10)))</f>
        <v>0</v>
      </c>
      <c r="C21" s="30">
        <f>if( Actuals!$A20=1,0,(IF(WeeklyRankPoints!C20 &gt; 10,0,(IF(WeeklyRankPoints!C20 = 0,0,VLOOKUP(WeeklyRankPoints!C20,$AA$5:$AB$14,2))*C$3)) + IF(Actuals!D20  = "",0,10)))</f>
        <v>0</v>
      </c>
      <c r="D21" s="30">
        <f>if( Actuals!$A20=1,0,(IF(WeeklyRankPoints!D20 &gt; 10,0,(IF(WeeklyRankPoints!D20 = 0,0,VLOOKUP(WeeklyRankPoints!D20,$AA$5:$AB$14,2))*D$3)) + IF(Actuals!E20  = "",0,10)))</f>
        <v>0</v>
      </c>
      <c r="E21" s="30">
        <f>if( Actuals!$A20=1,0,(IF(WeeklyRankPoints!E20 &gt; 10,0,(IF(WeeklyRankPoints!E20 = 0,0,VLOOKUP(WeeklyRankPoints!E20,$AA$5:$AB$14,2))*E$3)) + IF(Actuals!F20  = "",0,10)))</f>
        <v>0</v>
      </c>
      <c r="F21" s="30">
        <f>if( Actuals!$A20=1,0,(IF(WeeklyRankPoints!F20 &gt; 10,0,(IF(WeeklyRankPoints!F20 = 0,0,VLOOKUP(WeeklyRankPoints!F20,$AA$5:$AB$14,2))*F$3)) + IF(Actuals!G20  = "",0,10)))</f>
        <v>0</v>
      </c>
      <c r="G21" s="30">
        <f>if( Actuals!$A20=1,0,(IF(WeeklyRankPoints!G20 &gt; 10,0,(IF(WeeklyRankPoints!G20 = 0,0,VLOOKUP(WeeklyRankPoints!G20,$AA$5:$AB$14,2))*G$3)) + IF(Actuals!H20  = "",0,10)))</f>
        <v>0</v>
      </c>
      <c r="H21" s="30">
        <f>if( Actuals!$A20=1,0,(IF(WeeklyRankPoints!H20 &gt; 10,0,(IF(WeeklyRankPoints!H20 = 0,0,VLOOKUP(WeeklyRankPoints!H20,$AA$5:$AB$14,2))*H$3)) + IF(Actuals!I20  = "",0,10)))</f>
        <v>0</v>
      </c>
      <c r="I21" s="30">
        <f>if( Actuals!$A20=1,0,(IF(WeeklyRankPoints!I20 &gt; 10,0,(IF(WeeklyRankPoints!I20 = 0,0,VLOOKUP(WeeklyRankPoints!I20,$AA$5:$AB$14,2))*I$3)) + IF(Actuals!J20  = "",0,10)))</f>
        <v>0</v>
      </c>
      <c r="J21" s="30">
        <f>if( Actuals!$A20=1,0,(IF(WeeklyRankPoints!J20 &gt; 10,0,(IF(WeeklyRankPoints!J20 = 0,0,VLOOKUP(WeeklyRankPoints!J20,$AA$5:$AB$14,2))*J$3)) + IF(Actuals!K20  = "",0,10)))</f>
        <v>0</v>
      </c>
      <c r="K21" s="30">
        <f>if( Actuals!$A20=1,0,(IF(WeeklyRankPoints!K20 &gt; 10,0,(IF(WeeklyRankPoints!K20 = 0,0,VLOOKUP(WeeklyRankPoints!K20,$AA$5:$AB$14,2))*K$3)) + IF(Actuals!L20  = "",0,10)))</f>
        <v>0</v>
      </c>
      <c r="L21" s="30">
        <f>if( Actuals!$A20=1,0,(IF(WeeklyRankPoints!L20 &gt; 10,0,(IF(WeeklyRankPoints!L20 = 0,0,VLOOKUP(WeeklyRankPoints!L20,$AA$5:$AB$14,2))*L$3)) + IF(Actuals!M20  = "",0,10)))</f>
        <v>0</v>
      </c>
      <c r="M21" s="30">
        <f>if( Actuals!$A20=1,0,(IF(WeeklyRankPoints!M20 &gt; 10,0,(IF(WeeklyRankPoints!M20 = 0,0,VLOOKUP(WeeklyRankPoints!M20,$AA$5:$AB$14,2))*M$3)) + IF(Actuals!N20  = "",0,10)))</f>
        <v>0</v>
      </c>
      <c r="N21" s="30">
        <f>if( Actuals!$A20=1,0,(IF(WeeklyRankPoints!N20 &gt; 10,0,(IF(WeeklyRankPoints!N20 = 0,0,VLOOKUP(WeeklyRankPoints!N20,$AA$5:$AB$14,2))*N$3)) + IF(Actuals!O20  = "",0,10)))</f>
        <v>0</v>
      </c>
      <c r="O21" s="30">
        <f>if( Actuals!$A20=1,0,(IF(WeeklyRankPoints!O20 &gt; 10,0,(IF(WeeklyRankPoints!O20 = 0,0,VLOOKUP(WeeklyRankPoints!O20,$AA$5:$AB$14,2))*O$3)) + IF(Actuals!P20  = "",0,10)))</f>
        <v>0</v>
      </c>
      <c r="P21" s="30">
        <f>if( Actuals!$A20=1,0,(IF(WeeklyRankPoints!P20 &gt; 10,0,(IF(WeeklyRankPoints!P20 = 0,0,VLOOKUP(WeeklyRankPoints!P20,$AA$5:$AB$14,2))*P$3)) + IF(Actuals!Q20  = "",0,10)))</f>
        <v>0</v>
      </c>
      <c r="Q21" s="30">
        <f>if( Actuals!$A20=1,0,(IF(WeeklyRankPoints!Q20 &gt; 10,0,(IF(WeeklyRankPoints!Q20 = 0,0,VLOOKUP(WeeklyRankPoints!Q20,$AA$5:$AB$14,2))*Q$3)) + IF(Actuals!R20  = "",0,10)))</f>
        <v>0</v>
      </c>
      <c r="R21" s="32">
        <f t="shared" si="3"/>
        <v>0</v>
      </c>
      <c r="S21" s="33">
        <f t="shared" si="4"/>
        <v>17</v>
      </c>
      <c r="T21" s="30">
        <f>COUNT(Actuals!C20:R20)</f>
        <v>0</v>
      </c>
      <c r="U21" s="32">
        <f t="shared" si="5"/>
        <v>0</v>
      </c>
      <c r="V21" s="20">
        <f>WeeklyRankMoney!R20</f>
        <v>0</v>
      </c>
      <c r="W21" s="20">
        <f>WeeklyRankMoney!S20</f>
        <v>0</v>
      </c>
      <c r="X21" s="20">
        <f>WeeklyRankMoney!T20</f>
        <v>0</v>
      </c>
      <c r="Y21" s="34">
        <f>Strokes!Q20</f>
        <v>-1.1</v>
      </c>
      <c r="Z21" s="27"/>
      <c r="AA21" s="27"/>
      <c r="AB21" s="27"/>
      <c r="AC21" s="27"/>
      <c r="AD21" s="35">
        <v>17.0</v>
      </c>
      <c r="AE21" s="36">
        <v>43293.0</v>
      </c>
      <c r="AF21" s="36"/>
      <c r="AG21" s="36"/>
    </row>
    <row r="22">
      <c r="A22" s="26" t="str">
        <f>Actuals!B21</f>
        <v>Kyle N</v>
      </c>
      <c r="B22" s="30">
        <f>if( Actuals!$A21=1,0,(IF(WeeklyRankPoints!B21 &gt; 10,0,(IF(WeeklyRankPoints!B21 = 0,0,VLOOKUP(WeeklyRankPoints!B21,$AA$5:$AB$14,2))*B$3)) + IF(Actuals!C21  = "",0,10)))</f>
        <v>0</v>
      </c>
      <c r="C22" s="30">
        <f>if( Actuals!$A21=1,0,(IF(WeeklyRankPoints!C21 &gt; 10,0,(IF(WeeklyRankPoints!C21 = 0,0,VLOOKUP(WeeklyRankPoints!C21,$AA$5:$AB$14,2))*C$3)) + IF(Actuals!D21  = "",0,10)))</f>
        <v>0</v>
      </c>
      <c r="D22" s="30">
        <f>if( Actuals!$A21=1,0,(IF(WeeklyRankPoints!D21 &gt; 10,0,(IF(WeeklyRankPoints!D21 = 0,0,VLOOKUP(WeeklyRankPoints!D21,$AA$5:$AB$14,2))*D$3)) + IF(Actuals!E21  = "",0,10)))</f>
        <v>0</v>
      </c>
      <c r="E22" s="30">
        <f>if( Actuals!$A21=1,0,(IF(WeeklyRankPoints!E21 &gt; 10,0,(IF(WeeklyRankPoints!E21 = 0,0,VLOOKUP(WeeklyRankPoints!E21,$AA$5:$AB$14,2))*E$3)) + IF(Actuals!F21  = "",0,10)))</f>
        <v>0</v>
      </c>
      <c r="F22" s="30">
        <f>if( Actuals!$A21=1,0,(IF(WeeklyRankPoints!F21 &gt; 10,0,(IF(WeeklyRankPoints!F21 = 0,0,VLOOKUP(WeeklyRankPoints!F21,$AA$5:$AB$14,2))*F$3)) + IF(Actuals!G21  = "",0,10)))</f>
        <v>0</v>
      </c>
      <c r="G22" s="30">
        <f>if( Actuals!$A21=1,0,(IF(WeeklyRankPoints!G21 &gt; 10,0,(IF(WeeklyRankPoints!G21 = 0,0,VLOOKUP(WeeklyRankPoints!G21,$AA$5:$AB$14,2))*G$3)) + IF(Actuals!H21  = "",0,10)))</f>
        <v>0</v>
      </c>
      <c r="H22" s="30">
        <f>if( Actuals!$A21=1,0,(IF(WeeklyRankPoints!H21 &gt; 10,0,(IF(WeeklyRankPoints!H21 = 0,0,VLOOKUP(WeeklyRankPoints!H21,$AA$5:$AB$14,2))*H$3)) + IF(Actuals!I21  = "",0,10)))</f>
        <v>0</v>
      </c>
      <c r="I22" s="30">
        <f>if( Actuals!$A21=1,0,(IF(WeeklyRankPoints!I21 &gt; 10,0,(IF(WeeklyRankPoints!I21 = 0,0,VLOOKUP(WeeklyRankPoints!I21,$AA$5:$AB$14,2))*I$3)) + IF(Actuals!J21  = "",0,10)))</f>
        <v>0</v>
      </c>
      <c r="J22" s="30">
        <f>if( Actuals!$A21=1,0,(IF(WeeklyRankPoints!J21 &gt; 10,0,(IF(WeeklyRankPoints!J21 = 0,0,VLOOKUP(WeeklyRankPoints!J21,$AA$5:$AB$14,2))*J$3)) + IF(Actuals!K21  = "",0,10)))</f>
        <v>0</v>
      </c>
      <c r="K22" s="30">
        <f>if( Actuals!$A21=1,0,(IF(WeeklyRankPoints!K21 &gt; 10,0,(IF(WeeklyRankPoints!K21 = 0,0,VLOOKUP(WeeklyRankPoints!K21,$AA$5:$AB$14,2))*K$3)) + IF(Actuals!L21  = "",0,10)))</f>
        <v>0</v>
      </c>
      <c r="L22" s="30">
        <f>if( Actuals!$A21=1,0,(IF(WeeklyRankPoints!L21 &gt; 10,0,(IF(WeeklyRankPoints!L21 = 0,0,VLOOKUP(WeeklyRankPoints!L21,$AA$5:$AB$14,2))*L$3)) + IF(Actuals!M21  = "",0,10)))</f>
        <v>0</v>
      </c>
      <c r="M22" s="30">
        <f>if( Actuals!$A21=1,0,(IF(WeeklyRankPoints!M21 &gt; 10,0,(IF(WeeklyRankPoints!M21 = 0,0,VLOOKUP(WeeklyRankPoints!M21,$AA$5:$AB$14,2))*M$3)) + IF(Actuals!N21  = "",0,10)))</f>
        <v>0</v>
      </c>
      <c r="N22" s="30">
        <f>if( Actuals!$A21=1,0,(IF(WeeklyRankPoints!N21 &gt; 10,0,(IF(WeeklyRankPoints!N21 = 0,0,VLOOKUP(WeeklyRankPoints!N21,$AA$5:$AB$14,2))*N$3)) + IF(Actuals!O21  = "",0,10)))</f>
        <v>0</v>
      </c>
      <c r="O22" s="30">
        <f>if( Actuals!$A21=1,0,(IF(WeeklyRankPoints!O21 &gt; 10,0,(IF(WeeklyRankPoints!O21 = 0,0,VLOOKUP(WeeklyRankPoints!O21,$AA$5:$AB$14,2))*O$3)) + IF(Actuals!P21  = "",0,10)))</f>
        <v>0</v>
      </c>
      <c r="P22" s="30">
        <f>if( Actuals!$A21=1,0,(IF(WeeklyRankPoints!P21 &gt; 10,0,(IF(WeeklyRankPoints!P21 = 0,0,VLOOKUP(WeeklyRankPoints!P21,$AA$5:$AB$14,2))*P$3)) + IF(Actuals!Q21  = "",0,10)))</f>
        <v>0</v>
      </c>
      <c r="Q22" s="30">
        <f>if( Actuals!$A21=1,0,(IF(WeeklyRankPoints!Q21 &gt; 10,0,(IF(WeeklyRankPoints!Q21 = 0,0,VLOOKUP(WeeklyRankPoints!Q21,$AA$5:$AB$14,2))*Q$3)) + IF(Actuals!R21  = "",0,10)))</f>
        <v>0</v>
      </c>
      <c r="R22" s="32">
        <f t="shared" si="3"/>
        <v>0</v>
      </c>
      <c r="S22" s="33">
        <f t="shared" si="4"/>
        <v>17</v>
      </c>
      <c r="T22" s="30">
        <f>COUNT(Actuals!C21:R21)</f>
        <v>3</v>
      </c>
      <c r="U22" s="32">
        <f t="shared" si="5"/>
        <v>0</v>
      </c>
      <c r="V22" s="20">
        <f>WeeklyRankMoney!R21</f>
        <v>1</v>
      </c>
      <c r="W22" s="20">
        <f>WeeklyRankMoney!S21</f>
        <v>1</v>
      </c>
      <c r="X22" s="20">
        <f>WeeklyRankMoney!T21</f>
        <v>1</v>
      </c>
      <c r="Y22" s="34">
        <f>Strokes!Q21</f>
        <v>-3.7</v>
      </c>
      <c r="Z22" s="27"/>
      <c r="AA22" s="27"/>
      <c r="AB22" s="27"/>
      <c r="AC22" s="27"/>
      <c r="AD22" s="35">
        <v>18.0</v>
      </c>
      <c r="AE22" s="36">
        <v>43300.0</v>
      </c>
      <c r="AF22" s="36"/>
      <c r="AG22" s="36"/>
    </row>
    <row r="23">
      <c r="A23" s="26" t="str">
        <f>Actuals!B22</f>
        <v>Laura L</v>
      </c>
      <c r="B23" s="30">
        <f>if( Actuals!$A22=1,0,(IF(WeeklyRankPoints!B22 &gt; 10,0,(IF(WeeklyRankPoints!B22 = 0,0,VLOOKUP(WeeklyRankPoints!B22,$AA$5:$AB$14,2))*B$3)) + IF(Actuals!C22  = "",0,10)))</f>
        <v>0</v>
      </c>
      <c r="C23" s="30">
        <f>if( Actuals!$A22=1,0,(IF(WeeklyRankPoints!C22 &gt; 10,0,(IF(WeeklyRankPoints!C22 = 0,0,VLOOKUP(WeeklyRankPoints!C22,$AA$5:$AB$14,2))*C$3)) + IF(Actuals!D22  = "",0,10)))</f>
        <v>0</v>
      </c>
      <c r="D23" s="30">
        <f>if( Actuals!$A22=1,0,(IF(WeeklyRankPoints!D22 &gt; 10,0,(IF(WeeklyRankPoints!D22 = 0,0,VLOOKUP(WeeklyRankPoints!D22,$AA$5:$AB$14,2))*D$3)) + IF(Actuals!E22  = "",0,10)))</f>
        <v>0</v>
      </c>
      <c r="E23" s="30">
        <f>if( Actuals!$A22=1,0,(IF(WeeklyRankPoints!E22 &gt; 10,0,(IF(WeeklyRankPoints!E22 = 0,0,VLOOKUP(WeeklyRankPoints!E22,$AA$5:$AB$14,2))*E$3)) + IF(Actuals!F22  = "",0,10)))</f>
        <v>0</v>
      </c>
      <c r="F23" s="30">
        <f>if( Actuals!$A22=1,0,(IF(WeeklyRankPoints!F22 &gt; 10,0,(IF(WeeklyRankPoints!F22 = 0,0,VLOOKUP(WeeklyRankPoints!F22,$AA$5:$AB$14,2))*F$3)) + IF(Actuals!G22  = "",0,10)))</f>
        <v>0</v>
      </c>
      <c r="G23" s="30">
        <f>if( Actuals!$A22=1,0,(IF(WeeklyRankPoints!G22 &gt; 10,0,(IF(WeeklyRankPoints!G22 = 0,0,VLOOKUP(WeeklyRankPoints!G22,$AA$5:$AB$14,2))*G$3)) + IF(Actuals!H22  = "",0,10)))</f>
        <v>0</v>
      </c>
      <c r="H23" s="30">
        <f>if( Actuals!$A22=1,0,(IF(WeeklyRankPoints!H22 &gt; 10,0,(IF(WeeklyRankPoints!H22 = 0,0,VLOOKUP(WeeklyRankPoints!H22,$AA$5:$AB$14,2))*H$3)) + IF(Actuals!I22  = "",0,10)))</f>
        <v>0</v>
      </c>
      <c r="I23" s="30">
        <f>if( Actuals!$A22=1,0,(IF(WeeklyRankPoints!I22 &gt; 10,0,(IF(WeeklyRankPoints!I22 = 0,0,VLOOKUP(WeeklyRankPoints!I22,$AA$5:$AB$14,2))*I$3)) + IF(Actuals!J22  = "",0,10)))</f>
        <v>0</v>
      </c>
      <c r="J23" s="30">
        <f>if( Actuals!$A22=1,0,(IF(WeeklyRankPoints!J22 &gt; 10,0,(IF(WeeklyRankPoints!J22 = 0,0,VLOOKUP(WeeklyRankPoints!J22,$AA$5:$AB$14,2))*J$3)) + IF(Actuals!K22  = "",0,10)))</f>
        <v>0</v>
      </c>
      <c r="K23" s="30">
        <f>if( Actuals!$A22=1,0,(IF(WeeklyRankPoints!K22 &gt; 10,0,(IF(WeeklyRankPoints!K22 = 0,0,VLOOKUP(WeeklyRankPoints!K22,$AA$5:$AB$14,2))*K$3)) + IF(Actuals!L22  = "",0,10)))</f>
        <v>0</v>
      </c>
      <c r="L23" s="30">
        <f>if( Actuals!$A22=1,0,(IF(WeeklyRankPoints!L22 &gt; 10,0,(IF(WeeklyRankPoints!L22 = 0,0,VLOOKUP(WeeklyRankPoints!L22,$AA$5:$AB$14,2))*L$3)) + IF(Actuals!M22  = "",0,10)))</f>
        <v>0</v>
      </c>
      <c r="M23" s="30">
        <f>if( Actuals!$A22=1,0,(IF(WeeklyRankPoints!M22 &gt; 10,0,(IF(WeeklyRankPoints!M22 = 0,0,VLOOKUP(WeeklyRankPoints!M22,$AA$5:$AB$14,2))*M$3)) + IF(Actuals!N22  = "",0,10)))</f>
        <v>0</v>
      </c>
      <c r="N23" s="30">
        <f>if( Actuals!$A22=1,0,(IF(WeeklyRankPoints!N22 &gt; 10,0,(IF(WeeklyRankPoints!N22 = 0,0,VLOOKUP(WeeklyRankPoints!N22,$AA$5:$AB$14,2))*N$3)) + IF(Actuals!O22  = "",0,10)))</f>
        <v>0</v>
      </c>
      <c r="O23" s="30">
        <f>if( Actuals!$A22=1,0,(IF(WeeklyRankPoints!O22 &gt; 10,0,(IF(WeeklyRankPoints!O22 = 0,0,VLOOKUP(WeeklyRankPoints!O22,$AA$5:$AB$14,2))*O$3)) + IF(Actuals!P22  = "",0,10)))</f>
        <v>0</v>
      </c>
      <c r="P23" s="30">
        <f>if( Actuals!$A22=1,0,(IF(WeeklyRankPoints!P22 &gt; 10,0,(IF(WeeklyRankPoints!P22 = 0,0,VLOOKUP(WeeklyRankPoints!P22,$AA$5:$AB$14,2))*P$3)) + IF(Actuals!Q22  = "",0,10)))</f>
        <v>0</v>
      </c>
      <c r="Q23" s="30">
        <f>if( Actuals!$A22=1,0,(IF(WeeklyRankPoints!Q22 &gt; 10,0,(IF(WeeklyRankPoints!Q22 = 0,0,VLOOKUP(WeeklyRankPoints!Q22,$AA$5:$AB$14,2))*Q$3)) + IF(Actuals!R22  = "",0,10)))</f>
        <v>0</v>
      </c>
      <c r="R23" s="32">
        <f t="shared" si="3"/>
        <v>0</v>
      </c>
      <c r="S23" s="33">
        <f t="shared" si="4"/>
        <v>17</v>
      </c>
      <c r="T23" s="30">
        <f>COUNT(Actuals!C22:R22)</f>
        <v>0</v>
      </c>
      <c r="U23" s="32">
        <f t="shared" si="5"/>
        <v>0</v>
      </c>
      <c r="V23" s="20">
        <f>WeeklyRankMoney!R22</f>
        <v>0</v>
      </c>
      <c r="W23" s="20">
        <f>WeeklyRankMoney!S22</f>
        <v>0</v>
      </c>
      <c r="X23" s="20">
        <f>WeeklyRankMoney!T22</f>
        <v>0</v>
      </c>
      <c r="Y23" s="34">
        <f>Strokes!Q22</f>
        <v>-2.9</v>
      </c>
      <c r="Z23" s="27"/>
      <c r="AA23" s="27"/>
      <c r="AB23" s="27"/>
      <c r="AC23" s="27"/>
      <c r="AD23" s="27"/>
      <c r="AE23" s="27"/>
      <c r="AF23" s="27"/>
      <c r="AG23" s="27"/>
    </row>
    <row r="24">
      <c r="A24" s="26" t="str">
        <f>Actuals!B23</f>
        <v>Luke W</v>
      </c>
      <c r="B24" s="30">
        <f>if( Actuals!$A23=1,0,(IF(WeeklyRankPoints!B23 &gt; 10,0,(IF(WeeklyRankPoints!B23 = 0,0,VLOOKUP(WeeklyRankPoints!B23,$AA$5:$AB$14,2))*B$3)) + IF(Actuals!C23  = "",0,10)))</f>
        <v>0</v>
      </c>
      <c r="C24" s="30">
        <f>if( Actuals!$A23=1,0,(IF(WeeklyRankPoints!C23 &gt; 10,0,(IF(WeeklyRankPoints!C23 = 0,0,VLOOKUP(WeeklyRankPoints!C23,$AA$5:$AB$14,2))*C$3)) + IF(Actuals!D23  = "",0,10)))</f>
        <v>0</v>
      </c>
      <c r="D24" s="30">
        <f>if( Actuals!$A23=1,0,(IF(WeeklyRankPoints!D23 &gt; 10,0,(IF(WeeklyRankPoints!D23 = 0,0,VLOOKUP(WeeklyRankPoints!D23,$AA$5:$AB$14,2))*D$3)) + IF(Actuals!E23  = "",0,10)))</f>
        <v>130</v>
      </c>
      <c r="E24" s="30">
        <f>if( Actuals!$A23=1,0,(IF(WeeklyRankPoints!E23 &gt; 10,0,(IF(WeeklyRankPoints!E23 = 0,0,VLOOKUP(WeeklyRankPoints!E23,$AA$5:$AB$14,2))*E$3)) + IF(Actuals!F23  = "",0,10)))</f>
        <v>0</v>
      </c>
      <c r="F24" s="30">
        <f>if( Actuals!$A23=1,0,(IF(WeeklyRankPoints!F23 &gt; 10,0,(IF(WeeklyRankPoints!F23 = 0,0,VLOOKUP(WeeklyRankPoints!F23,$AA$5:$AB$14,2))*F$3)) + IF(Actuals!G23  = "",0,10)))</f>
        <v>0</v>
      </c>
      <c r="G24" s="30">
        <f>if( Actuals!$A23=1,0,(IF(WeeklyRankPoints!G23 &gt; 10,0,(IF(WeeklyRankPoints!G23 = 0,0,VLOOKUP(WeeklyRankPoints!G23,$AA$5:$AB$14,2))*G$3)) + IF(Actuals!H23  = "",0,10)))</f>
        <v>0</v>
      </c>
      <c r="H24" s="30">
        <f>if( Actuals!$A23=1,0,(IF(WeeklyRankPoints!H23 &gt; 10,0,(IF(WeeklyRankPoints!H23 = 0,0,VLOOKUP(WeeklyRankPoints!H23,$AA$5:$AB$14,2))*H$3)) + IF(Actuals!I23  = "",0,10)))</f>
        <v>0</v>
      </c>
      <c r="I24" s="30">
        <f>if( Actuals!$A23=1,0,(IF(WeeklyRankPoints!I23 &gt; 10,0,(IF(WeeklyRankPoints!I23 = 0,0,VLOOKUP(WeeklyRankPoints!I23,$AA$5:$AB$14,2))*I$3)) + IF(Actuals!J23  = "",0,10)))</f>
        <v>0</v>
      </c>
      <c r="J24" s="30">
        <f>if( Actuals!$A23=1,0,(IF(WeeklyRankPoints!J23 &gt; 10,0,(IF(WeeklyRankPoints!J23 = 0,0,VLOOKUP(WeeklyRankPoints!J23,$AA$5:$AB$14,2))*J$3)) + IF(Actuals!K23  = "",0,10)))</f>
        <v>0</v>
      </c>
      <c r="K24" s="30">
        <f>if( Actuals!$A23=1,0,(IF(WeeklyRankPoints!K23 &gt; 10,0,(IF(WeeklyRankPoints!K23 = 0,0,VLOOKUP(WeeklyRankPoints!K23,$AA$5:$AB$14,2))*K$3)) + IF(Actuals!L23  = "",0,10)))</f>
        <v>0</v>
      </c>
      <c r="L24" s="30">
        <f>if( Actuals!$A23=1,0,(IF(WeeklyRankPoints!L23 &gt; 10,0,(IF(WeeklyRankPoints!L23 = 0,0,VLOOKUP(WeeklyRankPoints!L23,$AA$5:$AB$14,2))*L$3)) + IF(Actuals!M23  = "",0,10)))</f>
        <v>0</v>
      </c>
      <c r="M24" s="30">
        <f>if( Actuals!$A23=1,0,(IF(WeeklyRankPoints!M23 &gt; 10,0,(IF(WeeklyRankPoints!M23 = 0,0,VLOOKUP(WeeklyRankPoints!M23,$AA$5:$AB$14,2))*M$3)) + IF(Actuals!N23  = "",0,10)))</f>
        <v>0</v>
      </c>
      <c r="N24" s="30">
        <f>if( Actuals!$A23=1,0,(IF(WeeklyRankPoints!N23 &gt; 10,0,(IF(WeeklyRankPoints!N23 = 0,0,VLOOKUP(WeeklyRankPoints!N23,$AA$5:$AB$14,2))*N$3)) + IF(Actuals!O23  = "",0,10)))</f>
        <v>0</v>
      </c>
      <c r="O24" s="30">
        <f>if( Actuals!$A23=1,0,(IF(WeeklyRankPoints!O23 &gt; 10,0,(IF(WeeklyRankPoints!O23 = 0,0,VLOOKUP(WeeklyRankPoints!O23,$AA$5:$AB$14,2))*O$3)) + IF(Actuals!P23  = "",0,10)))</f>
        <v>0</v>
      </c>
      <c r="P24" s="30">
        <f>if( Actuals!$A23=1,0,(IF(WeeklyRankPoints!P23 &gt; 10,0,(IF(WeeklyRankPoints!P23 = 0,0,VLOOKUP(WeeklyRankPoints!P23,$AA$5:$AB$14,2))*P$3)) + IF(Actuals!Q23  = "",0,10)))</f>
        <v>0</v>
      </c>
      <c r="Q24" s="30">
        <f>if( Actuals!$A23=1,0,(IF(WeeklyRankPoints!Q23 &gt; 10,0,(IF(WeeklyRankPoints!Q23 = 0,0,VLOOKUP(WeeklyRankPoints!Q23,$AA$5:$AB$14,2))*Q$3)) + IF(Actuals!R23  = "",0,10)))</f>
        <v>0</v>
      </c>
      <c r="R24" s="32">
        <f t="shared" si="3"/>
        <v>130</v>
      </c>
      <c r="S24" s="33">
        <f t="shared" si="4"/>
        <v>5</v>
      </c>
      <c r="T24" s="30">
        <f>COUNT(Actuals!C23:R23)</f>
        <v>1</v>
      </c>
      <c r="U24" s="32">
        <f t="shared" si="5"/>
        <v>130</v>
      </c>
      <c r="V24" s="20">
        <f>WeeklyRankMoney!R23</f>
        <v>0</v>
      </c>
      <c r="W24" s="20">
        <f>WeeklyRankMoney!S23</f>
        <v>1</v>
      </c>
      <c r="X24" s="20">
        <f>WeeklyRankMoney!T23</f>
        <v>1</v>
      </c>
      <c r="Y24" s="34">
        <f>Strokes!Q23</f>
        <v>-1</v>
      </c>
      <c r="Z24" s="27"/>
      <c r="AA24" s="27"/>
      <c r="AB24" s="27"/>
      <c r="AC24" s="27"/>
      <c r="AD24" s="27"/>
      <c r="AE24" s="27"/>
      <c r="AF24" s="27"/>
      <c r="AG24" s="27"/>
    </row>
    <row r="25">
      <c r="A25" s="26" t="str">
        <f>Actuals!B24</f>
        <v>Marc C</v>
      </c>
      <c r="B25" s="30">
        <f>if( Actuals!$A24=1,0,(IF(WeeklyRankPoints!B24 &gt; 10,0,(IF(WeeklyRankPoints!B24 = 0,0,VLOOKUP(WeeklyRankPoints!B24,$AA$5:$AB$14,2))*B$3)) + IF(Actuals!C24  = "",0,10)))</f>
        <v>130</v>
      </c>
      <c r="C25" s="30">
        <f>if( Actuals!$A24=1,0,(IF(WeeklyRankPoints!C24 &gt; 10,0,(IF(WeeklyRankPoints!C24 = 0,0,VLOOKUP(WeeklyRankPoints!C24,$AA$5:$AB$14,2))*C$3)) + IF(Actuals!D24  = "",0,10)))</f>
        <v>22</v>
      </c>
      <c r="D25" s="30">
        <f>if( Actuals!$A24=1,0,(IF(WeeklyRankPoints!D24 &gt; 10,0,(IF(WeeklyRankPoints!D24 = 0,0,VLOOKUP(WeeklyRankPoints!D24,$AA$5:$AB$14,2))*D$3)) + IF(Actuals!E24  = "",0,10)))</f>
        <v>0</v>
      </c>
      <c r="E25" s="30">
        <f>if( Actuals!$A24=1,0,(IF(WeeklyRankPoints!E24 &gt; 10,0,(IF(WeeklyRankPoints!E24 = 0,0,VLOOKUP(WeeklyRankPoints!E24,$AA$5:$AB$14,2))*E$3)) + IF(Actuals!F24  = "",0,10)))</f>
        <v>0</v>
      </c>
      <c r="F25" s="30">
        <f>if( Actuals!$A24=1,0,(IF(WeeklyRankPoints!F24 &gt; 10,0,(IF(WeeklyRankPoints!F24 = 0,0,VLOOKUP(WeeklyRankPoints!F24,$AA$5:$AB$14,2))*F$3)) + IF(Actuals!G24  = "",0,10)))</f>
        <v>0</v>
      </c>
      <c r="G25" s="30">
        <f>if( Actuals!$A24=1,0,(IF(WeeklyRankPoints!G24 &gt; 10,0,(IF(WeeklyRankPoints!G24 = 0,0,VLOOKUP(WeeklyRankPoints!G24,$AA$5:$AB$14,2))*G$3)) + IF(Actuals!H24  = "",0,10)))</f>
        <v>0</v>
      </c>
      <c r="H25" s="30">
        <f>if( Actuals!$A24=1,0,(IF(WeeklyRankPoints!H24 &gt; 10,0,(IF(WeeklyRankPoints!H24 = 0,0,VLOOKUP(WeeklyRankPoints!H24,$AA$5:$AB$14,2))*H$3)) + IF(Actuals!I24  = "",0,10)))</f>
        <v>0</v>
      </c>
      <c r="I25" s="30">
        <f>if( Actuals!$A24=1,0,(IF(WeeklyRankPoints!I24 &gt; 10,0,(IF(WeeklyRankPoints!I24 = 0,0,VLOOKUP(WeeklyRankPoints!I24,$AA$5:$AB$14,2))*I$3)) + IF(Actuals!J24  = "",0,10)))</f>
        <v>0</v>
      </c>
      <c r="J25" s="30">
        <f>if( Actuals!$A24=1,0,(IF(WeeklyRankPoints!J24 &gt; 10,0,(IF(WeeklyRankPoints!J24 = 0,0,VLOOKUP(WeeklyRankPoints!J24,$AA$5:$AB$14,2))*J$3)) + IF(Actuals!K24  = "",0,10)))</f>
        <v>0</v>
      </c>
      <c r="K25" s="30">
        <f>if( Actuals!$A24=1,0,(IF(WeeklyRankPoints!K24 &gt; 10,0,(IF(WeeklyRankPoints!K24 = 0,0,VLOOKUP(WeeklyRankPoints!K24,$AA$5:$AB$14,2))*K$3)) + IF(Actuals!L24  = "",0,10)))</f>
        <v>0</v>
      </c>
      <c r="L25" s="30">
        <f>if( Actuals!$A24=1,0,(IF(WeeklyRankPoints!L24 &gt; 10,0,(IF(WeeklyRankPoints!L24 = 0,0,VLOOKUP(WeeklyRankPoints!L24,$AA$5:$AB$14,2))*L$3)) + IF(Actuals!M24  = "",0,10)))</f>
        <v>0</v>
      </c>
      <c r="M25" s="30">
        <f>if( Actuals!$A24=1,0,(IF(WeeklyRankPoints!M24 &gt; 10,0,(IF(WeeklyRankPoints!M24 = 0,0,VLOOKUP(WeeklyRankPoints!M24,$AA$5:$AB$14,2))*M$3)) + IF(Actuals!N24  = "",0,10)))</f>
        <v>0</v>
      </c>
      <c r="N25" s="30">
        <f>if( Actuals!$A24=1,0,(IF(WeeklyRankPoints!N24 &gt; 10,0,(IF(WeeklyRankPoints!N24 = 0,0,VLOOKUP(WeeklyRankPoints!N24,$AA$5:$AB$14,2))*N$3)) + IF(Actuals!O24  = "",0,10)))</f>
        <v>0</v>
      </c>
      <c r="O25" s="30">
        <f>if( Actuals!$A24=1,0,(IF(WeeklyRankPoints!O24 &gt; 10,0,(IF(WeeklyRankPoints!O24 = 0,0,VLOOKUP(WeeklyRankPoints!O24,$AA$5:$AB$14,2))*O$3)) + IF(Actuals!P24  = "",0,10)))</f>
        <v>0</v>
      </c>
      <c r="P25" s="30">
        <f>if( Actuals!$A24=1,0,(IF(WeeklyRankPoints!P24 &gt; 10,0,(IF(WeeklyRankPoints!P24 = 0,0,VLOOKUP(WeeklyRankPoints!P24,$AA$5:$AB$14,2))*P$3)) + IF(Actuals!Q24  = "",0,10)))</f>
        <v>0</v>
      </c>
      <c r="Q25" s="30">
        <f>if( Actuals!$A24=1,0,(IF(WeeklyRankPoints!Q24 &gt; 10,0,(IF(WeeklyRankPoints!Q24 = 0,0,VLOOKUP(WeeklyRankPoints!Q24,$AA$5:$AB$14,2))*Q$3)) + IF(Actuals!R24  = "",0,10)))</f>
        <v>0</v>
      </c>
      <c r="R25" s="32">
        <f t="shared" si="3"/>
        <v>152</v>
      </c>
      <c r="S25" s="33">
        <f t="shared" si="4"/>
        <v>2</v>
      </c>
      <c r="T25" s="30">
        <f>COUNT(Actuals!C24:R24)</f>
        <v>2</v>
      </c>
      <c r="U25" s="32">
        <f t="shared" si="5"/>
        <v>76</v>
      </c>
      <c r="V25" s="20">
        <f>WeeklyRankMoney!R24</f>
        <v>1</v>
      </c>
      <c r="W25" s="20">
        <f>WeeklyRankMoney!S24</f>
        <v>1</v>
      </c>
      <c r="X25" s="20">
        <f>WeeklyRankMoney!T24</f>
        <v>1</v>
      </c>
      <c r="Y25" s="34">
        <f>Strokes!Q24</f>
        <v>-0.2</v>
      </c>
      <c r="Z25" s="27"/>
      <c r="AA25" s="27"/>
      <c r="AB25" s="27"/>
      <c r="AC25" s="27"/>
      <c r="AD25" s="27"/>
      <c r="AE25" s="27"/>
      <c r="AF25" s="27"/>
      <c r="AG25" s="27"/>
    </row>
    <row r="26">
      <c r="A26" s="26" t="str">
        <f>Actuals!B25</f>
        <v>Mark M</v>
      </c>
      <c r="B26" s="30">
        <f>if( Actuals!$A25=1,0,(IF(WeeklyRankPoints!B25 &gt; 10,0,(IF(WeeklyRankPoints!B25 = 0,0,VLOOKUP(WeeklyRankPoints!B25,$AA$5:$AB$14,2))*B$3)) + IF(Actuals!C25  = "",0,10)))</f>
        <v>26</v>
      </c>
      <c r="C26" s="30">
        <f>if( Actuals!$A25=1,0,(IF(WeeklyRankPoints!C25 &gt; 10,0,(IF(WeeklyRankPoints!C25 = 0,0,VLOOKUP(WeeklyRankPoints!C25,$AA$5:$AB$14,2))*C$3)) + IF(Actuals!D25  = "",0,10)))</f>
        <v>26</v>
      </c>
      <c r="D26" s="30">
        <f>if( Actuals!$A25=1,0,(IF(WeeklyRankPoints!D25 &gt; 10,0,(IF(WeeklyRankPoints!D25 = 0,0,VLOOKUP(WeeklyRankPoints!D25,$AA$5:$AB$14,2))*D$3)) + IF(Actuals!E25  = "",0,10)))</f>
        <v>26</v>
      </c>
      <c r="E26" s="30">
        <f>if( Actuals!$A25=1,0,(IF(WeeklyRankPoints!E25 &gt; 10,0,(IF(WeeklyRankPoints!E25 = 0,0,VLOOKUP(WeeklyRankPoints!E25,$AA$5:$AB$14,2))*E$3)) + IF(Actuals!F25  = "",0,10)))</f>
        <v>0</v>
      </c>
      <c r="F26" s="30">
        <f>if( Actuals!$A25=1,0,(IF(WeeklyRankPoints!F25 &gt; 10,0,(IF(WeeklyRankPoints!F25 = 0,0,VLOOKUP(WeeklyRankPoints!F25,$AA$5:$AB$14,2))*F$3)) + IF(Actuals!G25  = "",0,10)))</f>
        <v>0</v>
      </c>
      <c r="G26" s="30">
        <f>if( Actuals!$A25=1,0,(IF(WeeklyRankPoints!G25 &gt; 10,0,(IF(WeeklyRankPoints!G25 = 0,0,VLOOKUP(WeeklyRankPoints!G25,$AA$5:$AB$14,2))*G$3)) + IF(Actuals!H25  = "",0,10)))</f>
        <v>0</v>
      </c>
      <c r="H26" s="30">
        <f>if( Actuals!$A25=1,0,(IF(WeeklyRankPoints!H25 &gt; 10,0,(IF(WeeklyRankPoints!H25 = 0,0,VLOOKUP(WeeklyRankPoints!H25,$AA$5:$AB$14,2))*H$3)) + IF(Actuals!I25  = "",0,10)))</f>
        <v>0</v>
      </c>
      <c r="I26" s="30">
        <f>if( Actuals!$A25=1,0,(IF(WeeklyRankPoints!I25 &gt; 10,0,(IF(WeeklyRankPoints!I25 = 0,0,VLOOKUP(WeeklyRankPoints!I25,$AA$5:$AB$14,2))*I$3)) + IF(Actuals!J25  = "",0,10)))</f>
        <v>0</v>
      </c>
      <c r="J26" s="30">
        <f>if( Actuals!$A25=1,0,(IF(WeeklyRankPoints!J25 &gt; 10,0,(IF(WeeklyRankPoints!J25 = 0,0,VLOOKUP(WeeklyRankPoints!J25,$AA$5:$AB$14,2))*J$3)) + IF(Actuals!K25  = "",0,10)))</f>
        <v>0</v>
      </c>
      <c r="K26" s="30">
        <f>if( Actuals!$A25=1,0,(IF(WeeklyRankPoints!K25 &gt; 10,0,(IF(WeeklyRankPoints!K25 = 0,0,VLOOKUP(WeeklyRankPoints!K25,$AA$5:$AB$14,2))*K$3)) + IF(Actuals!L25  = "",0,10)))</f>
        <v>0</v>
      </c>
      <c r="L26" s="30">
        <f>if( Actuals!$A25=1,0,(IF(WeeklyRankPoints!L25 &gt; 10,0,(IF(WeeklyRankPoints!L25 = 0,0,VLOOKUP(WeeklyRankPoints!L25,$AA$5:$AB$14,2))*L$3)) + IF(Actuals!M25  = "",0,10)))</f>
        <v>0</v>
      </c>
      <c r="M26" s="30">
        <f>if( Actuals!$A25=1,0,(IF(WeeklyRankPoints!M25 &gt; 10,0,(IF(WeeklyRankPoints!M25 = 0,0,VLOOKUP(WeeklyRankPoints!M25,$AA$5:$AB$14,2))*M$3)) + IF(Actuals!N25  = "",0,10)))</f>
        <v>0</v>
      </c>
      <c r="N26" s="30">
        <f>if( Actuals!$A25=1,0,(IF(WeeklyRankPoints!N25 &gt; 10,0,(IF(WeeklyRankPoints!N25 = 0,0,VLOOKUP(WeeklyRankPoints!N25,$AA$5:$AB$14,2))*N$3)) + IF(Actuals!O25  = "",0,10)))</f>
        <v>0</v>
      </c>
      <c r="O26" s="30">
        <f>if( Actuals!$A25=1,0,(IF(WeeklyRankPoints!O25 &gt; 10,0,(IF(WeeklyRankPoints!O25 = 0,0,VLOOKUP(WeeklyRankPoints!O25,$AA$5:$AB$14,2))*O$3)) + IF(Actuals!P25  = "",0,10)))</f>
        <v>0</v>
      </c>
      <c r="P26" s="30">
        <f>if( Actuals!$A25=1,0,(IF(WeeklyRankPoints!P25 &gt; 10,0,(IF(WeeklyRankPoints!P25 = 0,0,VLOOKUP(WeeklyRankPoints!P25,$AA$5:$AB$14,2))*P$3)) + IF(Actuals!Q25  = "",0,10)))</f>
        <v>0</v>
      </c>
      <c r="Q26" s="30">
        <f>if( Actuals!$A25=1,0,(IF(WeeklyRankPoints!Q25 &gt; 10,0,(IF(WeeklyRankPoints!Q25 = 0,0,VLOOKUP(WeeklyRankPoints!Q25,$AA$5:$AB$14,2))*Q$3)) + IF(Actuals!R25  = "",0,10)))</f>
        <v>0</v>
      </c>
      <c r="R26" s="32">
        <f t="shared" si="3"/>
        <v>78</v>
      </c>
      <c r="S26" s="33">
        <f t="shared" si="4"/>
        <v>9</v>
      </c>
      <c r="T26" s="30">
        <f>COUNT(Actuals!C25:R25)</f>
        <v>3</v>
      </c>
      <c r="U26" s="32">
        <f t="shared" si="5"/>
        <v>26</v>
      </c>
      <c r="V26" s="20">
        <f>WeeklyRankMoney!R25</f>
        <v>0</v>
      </c>
      <c r="W26" s="20">
        <f>WeeklyRankMoney!S25</f>
        <v>0</v>
      </c>
      <c r="X26" s="20">
        <f>WeeklyRankMoney!T25</f>
        <v>0</v>
      </c>
      <c r="Y26" s="34">
        <f>Strokes!Q25</f>
        <v>-8</v>
      </c>
      <c r="Z26" s="27"/>
      <c r="AA26" s="27"/>
      <c r="AB26" s="27"/>
      <c r="AC26" s="27"/>
      <c r="AD26" s="27"/>
      <c r="AE26" s="27"/>
      <c r="AF26" s="27"/>
      <c r="AG26" s="27"/>
    </row>
    <row r="27">
      <c r="A27" s="26" t="str">
        <f>Actuals!B26</f>
        <v>Martin R</v>
      </c>
      <c r="B27" s="30">
        <f>if( Actuals!$A26=1,0,(IF(WeeklyRankPoints!B26 &gt; 10,0,(IF(WeeklyRankPoints!B26 = 0,0,VLOOKUP(WeeklyRankPoints!B26,$AA$5:$AB$14,2))*B$3)) + IF(Actuals!C26  = "",0,10)))</f>
        <v>0</v>
      </c>
      <c r="C27" s="30">
        <f>if( Actuals!$A26=1,0,(IF(WeeklyRankPoints!C26 &gt; 10,0,(IF(WeeklyRankPoints!C26 = 0,0,VLOOKUP(WeeklyRankPoints!C26,$AA$5:$AB$14,2))*C$3)) + IF(Actuals!D26  = "",0,10)))</f>
        <v>0</v>
      </c>
      <c r="D27" s="30">
        <f>if( Actuals!$A26=1,0,(IF(WeeklyRankPoints!D26 &gt; 10,0,(IF(WeeklyRankPoints!D26 = 0,0,VLOOKUP(WeeklyRankPoints!D26,$AA$5:$AB$14,2))*D$3)) + IF(Actuals!E26  = "",0,10)))</f>
        <v>0</v>
      </c>
      <c r="E27" s="30">
        <f>if( Actuals!$A26=1,0,(IF(WeeklyRankPoints!E26 &gt; 10,0,(IF(WeeklyRankPoints!E26 = 0,0,VLOOKUP(WeeklyRankPoints!E26,$AA$5:$AB$14,2))*E$3)) + IF(Actuals!F26  = "",0,10)))</f>
        <v>0</v>
      </c>
      <c r="F27" s="30">
        <f>if( Actuals!$A26=1,0,(IF(WeeklyRankPoints!F26 &gt; 10,0,(IF(WeeklyRankPoints!F26 = 0,0,VLOOKUP(WeeklyRankPoints!F26,$AA$5:$AB$14,2))*F$3)) + IF(Actuals!G26  = "",0,10)))</f>
        <v>0</v>
      </c>
      <c r="G27" s="30">
        <f>if( Actuals!$A26=1,0,(IF(WeeklyRankPoints!G26 &gt; 10,0,(IF(WeeklyRankPoints!G26 = 0,0,VLOOKUP(WeeklyRankPoints!G26,$AA$5:$AB$14,2))*G$3)) + IF(Actuals!H26  = "",0,10)))</f>
        <v>0</v>
      </c>
      <c r="H27" s="30">
        <f>if( Actuals!$A26=1,0,(IF(WeeklyRankPoints!H26 &gt; 10,0,(IF(WeeklyRankPoints!H26 = 0,0,VLOOKUP(WeeklyRankPoints!H26,$AA$5:$AB$14,2))*H$3)) + IF(Actuals!I26  = "",0,10)))</f>
        <v>0</v>
      </c>
      <c r="I27" s="30">
        <f>if( Actuals!$A26=1,0,(IF(WeeklyRankPoints!I26 &gt; 10,0,(IF(WeeklyRankPoints!I26 = 0,0,VLOOKUP(WeeklyRankPoints!I26,$AA$5:$AB$14,2))*I$3)) + IF(Actuals!J26  = "",0,10)))</f>
        <v>0</v>
      </c>
      <c r="J27" s="30">
        <f>if( Actuals!$A26=1,0,(IF(WeeklyRankPoints!J26 &gt; 10,0,(IF(WeeklyRankPoints!J26 = 0,0,VLOOKUP(WeeklyRankPoints!J26,$AA$5:$AB$14,2))*J$3)) + IF(Actuals!K26  = "",0,10)))</f>
        <v>0</v>
      </c>
      <c r="K27" s="30">
        <f>if( Actuals!$A26=1,0,(IF(WeeklyRankPoints!K26 &gt; 10,0,(IF(WeeklyRankPoints!K26 = 0,0,VLOOKUP(WeeklyRankPoints!K26,$AA$5:$AB$14,2))*K$3)) + IF(Actuals!L26  = "",0,10)))</f>
        <v>0</v>
      </c>
      <c r="L27" s="30">
        <f>if( Actuals!$A26=1,0,(IF(WeeklyRankPoints!L26 &gt; 10,0,(IF(WeeklyRankPoints!L26 = 0,0,VLOOKUP(WeeklyRankPoints!L26,$AA$5:$AB$14,2))*L$3)) + IF(Actuals!M26  = "",0,10)))</f>
        <v>0</v>
      </c>
      <c r="M27" s="30">
        <f>if( Actuals!$A26=1,0,(IF(WeeklyRankPoints!M26 &gt; 10,0,(IF(WeeklyRankPoints!M26 = 0,0,VLOOKUP(WeeklyRankPoints!M26,$AA$5:$AB$14,2))*M$3)) + IF(Actuals!N26  = "",0,10)))</f>
        <v>0</v>
      </c>
      <c r="N27" s="30">
        <f>if( Actuals!$A26=1,0,(IF(WeeklyRankPoints!N26 &gt; 10,0,(IF(WeeklyRankPoints!N26 = 0,0,VLOOKUP(WeeklyRankPoints!N26,$AA$5:$AB$14,2))*N$3)) + IF(Actuals!O26  = "",0,10)))</f>
        <v>0</v>
      </c>
      <c r="O27" s="30">
        <f>if( Actuals!$A26=1,0,(IF(WeeklyRankPoints!O26 &gt; 10,0,(IF(WeeklyRankPoints!O26 = 0,0,VLOOKUP(WeeklyRankPoints!O26,$AA$5:$AB$14,2))*O$3)) + IF(Actuals!P26  = "",0,10)))</f>
        <v>0</v>
      </c>
      <c r="P27" s="30">
        <f>if( Actuals!$A26=1,0,(IF(WeeklyRankPoints!P26 &gt; 10,0,(IF(WeeklyRankPoints!P26 = 0,0,VLOOKUP(WeeklyRankPoints!P26,$AA$5:$AB$14,2))*P$3)) + IF(Actuals!Q26  = "",0,10)))</f>
        <v>0</v>
      </c>
      <c r="Q27" s="30">
        <f>if( Actuals!$A26=1,0,(IF(WeeklyRankPoints!Q26 &gt; 10,0,(IF(WeeklyRankPoints!Q26 = 0,0,VLOOKUP(WeeklyRankPoints!Q26,$AA$5:$AB$14,2))*Q$3)) + IF(Actuals!R26  = "",0,10)))</f>
        <v>0</v>
      </c>
      <c r="R27" s="32">
        <f t="shared" si="3"/>
        <v>0</v>
      </c>
      <c r="S27" s="33">
        <f t="shared" si="4"/>
        <v>17</v>
      </c>
      <c r="T27" s="30">
        <f>COUNT(Actuals!C26:R26)</f>
        <v>0</v>
      </c>
      <c r="U27" s="32">
        <f t="shared" si="5"/>
        <v>0</v>
      </c>
      <c r="V27" s="20">
        <f>WeeklyRankMoney!R26</f>
        <v>0</v>
      </c>
      <c r="W27" s="20">
        <f>WeeklyRankMoney!S26</f>
        <v>0</v>
      </c>
      <c r="X27" s="20">
        <f>WeeklyRankMoney!T26</f>
        <v>0</v>
      </c>
      <c r="Y27" s="34">
        <f>Strokes!Q26</f>
        <v>-7.8</v>
      </c>
      <c r="Z27" s="27"/>
      <c r="AA27" s="27"/>
      <c r="AB27" s="27"/>
      <c r="AC27" s="27"/>
      <c r="AD27" s="27"/>
      <c r="AE27" s="27"/>
      <c r="AF27" s="27"/>
      <c r="AG27" s="27"/>
    </row>
    <row r="28">
      <c r="A28" s="26" t="str">
        <f>Actuals!B27</f>
        <v>Minji S</v>
      </c>
      <c r="B28" s="30">
        <f>if( Actuals!$A27=1,0,(IF(WeeklyRankPoints!B27 &gt; 10,0,(IF(WeeklyRankPoints!B27 = 0,0,VLOOKUP(WeeklyRankPoints!B27,$AA$5:$AB$14,2))*B$3)) + IF(Actuals!C27  = "",0,10)))</f>
        <v>0</v>
      </c>
      <c r="C28" s="30">
        <f>if( Actuals!$A27=1,0,(IF(WeeklyRankPoints!C27 &gt; 10,0,(IF(WeeklyRankPoints!C27 = 0,0,VLOOKUP(WeeklyRankPoints!C27,$AA$5:$AB$14,2))*C$3)) + IF(Actuals!D27  = "",0,10)))</f>
        <v>0</v>
      </c>
      <c r="D28" s="30">
        <f>if( Actuals!$A27=1,0,(IF(WeeklyRankPoints!D27 &gt; 10,0,(IF(WeeklyRankPoints!D27 = 0,0,VLOOKUP(WeeklyRankPoints!D27,$AA$5:$AB$14,2))*D$3)) + IF(Actuals!E27  = "",0,10)))</f>
        <v>0</v>
      </c>
      <c r="E28" s="30">
        <f>if( Actuals!$A27=1,0,(IF(WeeklyRankPoints!E27 &gt; 10,0,(IF(WeeklyRankPoints!E27 = 0,0,VLOOKUP(WeeklyRankPoints!E27,$AA$5:$AB$14,2))*E$3)) + IF(Actuals!F27  = "",0,10)))</f>
        <v>0</v>
      </c>
      <c r="F28" s="30">
        <f>if( Actuals!$A27=1,0,(IF(WeeklyRankPoints!F27 &gt; 10,0,(IF(WeeklyRankPoints!F27 = 0,0,VLOOKUP(WeeklyRankPoints!F27,$AA$5:$AB$14,2))*F$3)) + IF(Actuals!G27  = "",0,10)))</f>
        <v>0</v>
      </c>
      <c r="G28" s="30">
        <f>if( Actuals!$A27=1,0,(IF(WeeklyRankPoints!G27 &gt; 10,0,(IF(WeeklyRankPoints!G27 = 0,0,VLOOKUP(WeeklyRankPoints!G27,$AA$5:$AB$14,2))*G$3)) + IF(Actuals!H27  = "",0,10)))</f>
        <v>0</v>
      </c>
      <c r="H28" s="30">
        <f>if( Actuals!$A27=1,0,(IF(WeeklyRankPoints!H27 &gt; 10,0,(IF(WeeklyRankPoints!H27 = 0,0,VLOOKUP(WeeklyRankPoints!H27,$AA$5:$AB$14,2))*H$3)) + IF(Actuals!I27  = "",0,10)))</f>
        <v>0</v>
      </c>
      <c r="I28" s="30">
        <f>if( Actuals!$A27=1,0,(IF(WeeklyRankPoints!I27 &gt; 10,0,(IF(WeeklyRankPoints!I27 = 0,0,VLOOKUP(WeeklyRankPoints!I27,$AA$5:$AB$14,2))*I$3)) + IF(Actuals!J27  = "",0,10)))</f>
        <v>0</v>
      </c>
      <c r="J28" s="30">
        <f>if( Actuals!$A27=1,0,(IF(WeeklyRankPoints!J27 &gt; 10,0,(IF(WeeklyRankPoints!J27 = 0,0,VLOOKUP(WeeklyRankPoints!J27,$AA$5:$AB$14,2))*J$3)) + IF(Actuals!K27  = "",0,10)))</f>
        <v>0</v>
      </c>
      <c r="K28" s="30">
        <f>if( Actuals!$A27=1,0,(IF(WeeklyRankPoints!K27 &gt; 10,0,(IF(WeeklyRankPoints!K27 = 0,0,VLOOKUP(WeeklyRankPoints!K27,$AA$5:$AB$14,2))*K$3)) + IF(Actuals!L27  = "",0,10)))</f>
        <v>0</v>
      </c>
      <c r="L28" s="30">
        <f>if( Actuals!$A27=1,0,(IF(WeeklyRankPoints!L27 &gt; 10,0,(IF(WeeklyRankPoints!L27 = 0,0,VLOOKUP(WeeklyRankPoints!L27,$AA$5:$AB$14,2))*L$3)) + IF(Actuals!M27  = "",0,10)))</f>
        <v>0</v>
      </c>
      <c r="M28" s="30">
        <f>if( Actuals!$A27=1,0,(IF(WeeklyRankPoints!M27 &gt; 10,0,(IF(WeeklyRankPoints!M27 = 0,0,VLOOKUP(WeeklyRankPoints!M27,$AA$5:$AB$14,2))*M$3)) + IF(Actuals!N27  = "",0,10)))</f>
        <v>0</v>
      </c>
      <c r="N28" s="30">
        <f>if( Actuals!$A27=1,0,(IF(WeeklyRankPoints!N27 &gt; 10,0,(IF(WeeklyRankPoints!N27 = 0,0,VLOOKUP(WeeklyRankPoints!N27,$AA$5:$AB$14,2))*N$3)) + IF(Actuals!O27  = "",0,10)))</f>
        <v>0</v>
      </c>
      <c r="O28" s="30">
        <f>if( Actuals!$A27=1,0,(IF(WeeklyRankPoints!O27 &gt; 10,0,(IF(WeeklyRankPoints!O27 = 0,0,VLOOKUP(WeeklyRankPoints!O27,$AA$5:$AB$14,2))*O$3)) + IF(Actuals!P27  = "",0,10)))</f>
        <v>0</v>
      </c>
      <c r="P28" s="30">
        <f>if( Actuals!$A27=1,0,(IF(WeeklyRankPoints!P27 &gt; 10,0,(IF(WeeklyRankPoints!P27 = 0,0,VLOOKUP(WeeklyRankPoints!P27,$AA$5:$AB$14,2))*P$3)) + IF(Actuals!Q27  = "",0,10)))</f>
        <v>0</v>
      </c>
      <c r="Q28" s="30">
        <f>if( Actuals!$A27=1,0,(IF(WeeklyRankPoints!Q27 &gt; 10,0,(IF(WeeklyRankPoints!Q27 = 0,0,VLOOKUP(WeeklyRankPoints!Q27,$AA$5:$AB$14,2))*Q$3)) + IF(Actuals!R27  = "",0,10)))</f>
        <v>0</v>
      </c>
      <c r="R28" s="32">
        <f t="shared" si="3"/>
        <v>0</v>
      </c>
      <c r="S28" s="33">
        <f t="shared" si="4"/>
        <v>17</v>
      </c>
      <c r="T28" s="30">
        <f>COUNT(Actuals!C27:R27)</f>
        <v>0</v>
      </c>
      <c r="U28" s="32">
        <f t="shared" si="5"/>
        <v>0</v>
      </c>
      <c r="V28" s="20">
        <f>WeeklyRankMoney!R27</f>
        <v>0</v>
      </c>
      <c r="W28" s="20">
        <f>WeeklyRankMoney!S27</f>
        <v>0</v>
      </c>
      <c r="X28" s="20">
        <f>WeeklyRankMoney!T27</f>
        <v>0</v>
      </c>
      <c r="Y28" s="34">
        <f>Strokes!Q27</f>
        <v>-12.9</v>
      </c>
      <c r="Z28" s="27"/>
      <c r="AA28" s="27"/>
      <c r="AB28" s="27"/>
      <c r="AC28" s="27"/>
      <c r="AD28" s="27"/>
      <c r="AE28" s="27"/>
      <c r="AF28" s="27"/>
      <c r="AG28" s="27"/>
    </row>
    <row r="29">
      <c r="A29" s="26" t="str">
        <f>Actuals!B28</f>
        <v>Nate R</v>
      </c>
      <c r="B29" s="30">
        <f>if( Actuals!$A28=1,0,(IF(WeeklyRankPoints!B28 &gt; 10,0,(IF(WeeklyRankPoints!B28 = 0,0,VLOOKUP(WeeklyRankPoints!B28,$AA$5:$AB$14,2))*B$3)) + IF(Actuals!C28  = "",0,10)))</f>
        <v>10</v>
      </c>
      <c r="C29" s="30">
        <f>if( Actuals!$A28=1,0,(IF(WeeklyRankPoints!C28 &gt; 10,0,(IF(WeeklyRankPoints!C28 = 0,0,VLOOKUP(WeeklyRankPoints!C28,$AA$5:$AB$14,2))*C$3)) + IF(Actuals!D28  = "",0,10)))</f>
        <v>16</v>
      </c>
      <c r="D29" s="30">
        <f>if( Actuals!$A28=1,0,(IF(WeeklyRankPoints!D28 &gt; 10,0,(IF(WeeklyRankPoints!D28 = 0,0,VLOOKUP(WeeklyRankPoints!D28,$AA$5:$AB$14,2))*D$3)) + IF(Actuals!E28  = "",0,10)))</f>
        <v>16</v>
      </c>
      <c r="E29" s="30">
        <f>if( Actuals!$A28=1,0,(IF(WeeklyRankPoints!E28 &gt; 10,0,(IF(WeeklyRankPoints!E28 = 0,0,VLOOKUP(WeeklyRankPoints!E28,$AA$5:$AB$14,2))*E$3)) + IF(Actuals!F28  = "",0,10)))</f>
        <v>0</v>
      </c>
      <c r="F29" s="30">
        <f>if( Actuals!$A28=1,0,(IF(WeeklyRankPoints!F28 &gt; 10,0,(IF(WeeklyRankPoints!F28 = 0,0,VLOOKUP(WeeklyRankPoints!F28,$AA$5:$AB$14,2))*F$3)) + IF(Actuals!G28  = "",0,10)))</f>
        <v>0</v>
      </c>
      <c r="G29" s="30">
        <f>if( Actuals!$A28=1,0,(IF(WeeklyRankPoints!G28 &gt; 10,0,(IF(WeeklyRankPoints!G28 = 0,0,VLOOKUP(WeeklyRankPoints!G28,$AA$5:$AB$14,2))*G$3)) + IF(Actuals!H28  = "",0,10)))</f>
        <v>0</v>
      </c>
      <c r="H29" s="30">
        <f>if( Actuals!$A28=1,0,(IF(WeeklyRankPoints!H28 &gt; 10,0,(IF(WeeklyRankPoints!H28 = 0,0,VLOOKUP(WeeklyRankPoints!H28,$AA$5:$AB$14,2))*H$3)) + IF(Actuals!I28  = "",0,10)))</f>
        <v>0</v>
      </c>
      <c r="I29" s="30">
        <f>if( Actuals!$A28=1,0,(IF(WeeklyRankPoints!I28 &gt; 10,0,(IF(WeeklyRankPoints!I28 = 0,0,VLOOKUP(WeeklyRankPoints!I28,$AA$5:$AB$14,2))*I$3)) + IF(Actuals!J28  = "",0,10)))</f>
        <v>0</v>
      </c>
      <c r="J29" s="30">
        <f>if( Actuals!$A28=1,0,(IF(WeeklyRankPoints!J28 &gt; 10,0,(IF(WeeklyRankPoints!J28 = 0,0,VLOOKUP(WeeklyRankPoints!J28,$AA$5:$AB$14,2))*J$3)) + IF(Actuals!K28  = "",0,10)))</f>
        <v>0</v>
      </c>
      <c r="K29" s="30">
        <f>if( Actuals!$A28=1,0,(IF(WeeklyRankPoints!K28 &gt; 10,0,(IF(WeeklyRankPoints!K28 = 0,0,VLOOKUP(WeeklyRankPoints!K28,$AA$5:$AB$14,2))*K$3)) + IF(Actuals!L28  = "",0,10)))</f>
        <v>0</v>
      </c>
      <c r="L29" s="30">
        <f>if( Actuals!$A28=1,0,(IF(WeeklyRankPoints!L28 &gt; 10,0,(IF(WeeklyRankPoints!L28 = 0,0,VLOOKUP(WeeklyRankPoints!L28,$AA$5:$AB$14,2))*L$3)) + IF(Actuals!M28  = "",0,10)))</f>
        <v>0</v>
      </c>
      <c r="M29" s="30">
        <f>if( Actuals!$A28=1,0,(IF(WeeklyRankPoints!M28 &gt; 10,0,(IF(WeeklyRankPoints!M28 = 0,0,VLOOKUP(WeeklyRankPoints!M28,$AA$5:$AB$14,2))*M$3)) + IF(Actuals!N28  = "",0,10)))</f>
        <v>0</v>
      </c>
      <c r="N29" s="30">
        <f>if( Actuals!$A28=1,0,(IF(WeeklyRankPoints!N28 &gt; 10,0,(IF(WeeklyRankPoints!N28 = 0,0,VLOOKUP(WeeklyRankPoints!N28,$AA$5:$AB$14,2))*N$3)) + IF(Actuals!O28  = "",0,10)))</f>
        <v>0</v>
      </c>
      <c r="O29" s="30">
        <f>if( Actuals!$A28=1,0,(IF(WeeklyRankPoints!O28 &gt; 10,0,(IF(WeeklyRankPoints!O28 = 0,0,VLOOKUP(WeeklyRankPoints!O28,$AA$5:$AB$14,2))*O$3)) + IF(Actuals!P28  = "",0,10)))</f>
        <v>0</v>
      </c>
      <c r="P29" s="30">
        <f>if( Actuals!$A28=1,0,(IF(WeeklyRankPoints!P28 &gt; 10,0,(IF(WeeklyRankPoints!P28 = 0,0,VLOOKUP(WeeklyRankPoints!P28,$AA$5:$AB$14,2))*P$3)) + IF(Actuals!Q28  = "",0,10)))</f>
        <v>0</v>
      </c>
      <c r="Q29" s="30">
        <f>if( Actuals!$A28=1,0,(IF(WeeklyRankPoints!Q28 &gt; 10,0,(IF(WeeklyRankPoints!Q28 = 0,0,VLOOKUP(WeeklyRankPoints!Q28,$AA$5:$AB$14,2))*Q$3)) + IF(Actuals!R28  = "",0,10)))</f>
        <v>0</v>
      </c>
      <c r="R29" s="32">
        <f t="shared" si="3"/>
        <v>42</v>
      </c>
      <c r="S29" s="33">
        <f t="shared" si="4"/>
        <v>13</v>
      </c>
      <c r="T29" s="30">
        <f>COUNT(Actuals!C28:R28)</f>
        <v>3</v>
      </c>
      <c r="U29" s="32">
        <f t="shared" si="5"/>
        <v>14</v>
      </c>
      <c r="V29" s="20">
        <f>WeeklyRankMoney!R28</f>
        <v>0</v>
      </c>
      <c r="W29" s="20">
        <f>WeeklyRankMoney!S28</f>
        <v>0</v>
      </c>
      <c r="X29" s="20">
        <f>WeeklyRankMoney!T28</f>
        <v>0</v>
      </c>
      <c r="Y29" s="34">
        <f>Strokes!Q28</f>
        <v>-13.8</v>
      </c>
      <c r="Z29" s="27"/>
      <c r="AA29" s="27"/>
      <c r="AB29" s="27"/>
      <c r="AC29" s="27"/>
      <c r="AD29" s="27"/>
      <c r="AE29" s="27"/>
      <c r="AF29" s="27"/>
      <c r="AG29" s="27"/>
    </row>
    <row r="30">
      <c r="A30" s="26" t="str">
        <f>Actuals!B29</f>
        <v>Phil J</v>
      </c>
      <c r="B30" s="30">
        <f>if( Actuals!$A29=1,0,(IF(WeeklyRankPoints!B29 &gt; 10,0,(IF(WeeklyRankPoints!B29 = 0,0,VLOOKUP(WeeklyRankPoints!B29,$AA$5:$AB$14,2))*B$3)) + IF(Actuals!C29  = "",0,10)))</f>
        <v>0</v>
      </c>
      <c r="C30" s="30">
        <f>if( Actuals!$A29=1,0,(IF(WeeklyRankPoints!C29 &gt; 10,0,(IF(WeeklyRankPoints!C29 = 0,0,VLOOKUP(WeeklyRankPoints!C29,$AA$5:$AB$14,2))*C$3)) + IF(Actuals!D29  = "",0,10)))</f>
        <v>0</v>
      </c>
      <c r="D30" s="30">
        <f>if( Actuals!$A29=1,0,(IF(WeeklyRankPoints!D29 &gt; 10,0,(IF(WeeklyRankPoints!D29 = 0,0,VLOOKUP(WeeklyRankPoints!D29,$AA$5:$AB$14,2))*D$3)) + IF(Actuals!E29  = "",0,10)))</f>
        <v>0</v>
      </c>
      <c r="E30" s="30">
        <f>if( Actuals!$A29=1,0,(IF(WeeklyRankPoints!E29 &gt; 10,0,(IF(WeeklyRankPoints!E29 = 0,0,VLOOKUP(WeeklyRankPoints!E29,$AA$5:$AB$14,2))*E$3)) + IF(Actuals!F29  = "",0,10)))</f>
        <v>0</v>
      </c>
      <c r="F30" s="30">
        <f>if( Actuals!$A29=1,0,(IF(WeeklyRankPoints!F29 &gt; 10,0,(IF(WeeklyRankPoints!F29 = 0,0,VLOOKUP(WeeklyRankPoints!F29,$AA$5:$AB$14,2))*F$3)) + IF(Actuals!G29  = "",0,10)))</f>
        <v>0</v>
      </c>
      <c r="G30" s="30">
        <f>if( Actuals!$A29=1,0,(IF(WeeklyRankPoints!G29 &gt; 10,0,(IF(WeeklyRankPoints!G29 = 0,0,VLOOKUP(WeeklyRankPoints!G29,$AA$5:$AB$14,2))*G$3)) + IF(Actuals!H29  = "",0,10)))</f>
        <v>0</v>
      </c>
      <c r="H30" s="30">
        <f>if( Actuals!$A29=1,0,(IF(WeeklyRankPoints!H29 &gt; 10,0,(IF(WeeklyRankPoints!H29 = 0,0,VLOOKUP(WeeklyRankPoints!H29,$AA$5:$AB$14,2))*H$3)) + IF(Actuals!I29  = "",0,10)))</f>
        <v>0</v>
      </c>
      <c r="I30" s="30">
        <f>if( Actuals!$A29=1,0,(IF(WeeklyRankPoints!I29 &gt; 10,0,(IF(WeeklyRankPoints!I29 = 0,0,VLOOKUP(WeeklyRankPoints!I29,$AA$5:$AB$14,2))*I$3)) + IF(Actuals!J29  = "",0,10)))</f>
        <v>0</v>
      </c>
      <c r="J30" s="30">
        <f>if( Actuals!$A29=1,0,(IF(WeeklyRankPoints!J29 &gt; 10,0,(IF(WeeklyRankPoints!J29 = 0,0,VLOOKUP(WeeklyRankPoints!J29,$AA$5:$AB$14,2))*J$3)) + IF(Actuals!K29  = "",0,10)))</f>
        <v>0</v>
      </c>
      <c r="K30" s="30">
        <f>if( Actuals!$A29=1,0,(IF(WeeklyRankPoints!K29 &gt; 10,0,(IF(WeeklyRankPoints!K29 = 0,0,VLOOKUP(WeeklyRankPoints!K29,$AA$5:$AB$14,2))*K$3)) + IF(Actuals!L29  = "",0,10)))</f>
        <v>0</v>
      </c>
      <c r="L30" s="30">
        <f>if( Actuals!$A29=1,0,(IF(WeeklyRankPoints!L29 &gt; 10,0,(IF(WeeklyRankPoints!L29 = 0,0,VLOOKUP(WeeklyRankPoints!L29,$AA$5:$AB$14,2))*L$3)) + IF(Actuals!M29  = "",0,10)))</f>
        <v>0</v>
      </c>
      <c r="M30" s="30">
        <f>if( Actuals!$A29=1,0,(IF(WeeklyRankPoints!M29 &gt; 10,0,(IF(WeeklyRankPoints!M29 = 0,0,VLOOKUP(WeeklyRankPoints!M29,$AA$5:$AB$14,2))*M$3)) + IF(Actuals!N29  = "",0,10)))</f>
        <v>0</v>
      </c>
      <c r="N30" s="30">
        <f>if( Actuals!$A29=1,0,(IF(WeeklyRankPoints!N29 &gt; 10,0,(IF(WeeklyRankPoints!N29 = 0,0,VLOOKUP(WeeklyRankPoints!N29,$AA$5:$AB$14,2))*N$3)) + IF(Actuals!O29  = "",0,10)))</f>
        <v>0</v>
      </c>
      <c r="O30" s="30">
        <f>if( Actuals!$A29=1,0,(IF(WeeklyRankPoints!O29 &gt; 10,0,(IF(WeeklyRankPoints!O29 = 0,0,VLOOKUP(WeeklyRankPoints!O29,$AA$5:$AB$14,2))*O$3)) + IF(Actuals!P29  = "",0,10)))</f>
        <v>0</v>
      </c>
      <c r="P30" s="30">
        <f>if( Actuals!$A29=1,0,(IF(WeeklyRankPoints!P29 &gt; 10,0,(IF(WeeklyRankPoints!P29 = 0,0,VLOOKUP(WeeklyRankPoints!P29,$AA$5:$AB$14,2))*P$3)) + IF(Actuals!Q29  = "",0,10)))</f>
        <v>0</v>
      </c>
      <c r="Q30" s="30">
        <f>if( Actuals!$A29=1,0,(IF(WeeklyRankPoints!Q29 &gt; 10,0,(IF(WeeklyRankPoints!Q29 = 0,0,VLOOKUP(WeeklyRankPoints!Q29,$AA$5:$AB$14,2))*Q$3)) + IF(Actuals!R29  = "",0,10)))</f>
        <v>0</v>
      </c>
      <c r="R30" s="32">
        <f t="shared" si="3"/>
        <v>0</v>
      </c>
      <c r="S30" s="33">
        <f t="shared" si="4"/>
        <v>17</v>
      </c>
      <c r="T30" s="30">
        <f>COUNT(Actuals!C29:R29)</f>
        <v>0</v>
      </c>
      <c r="U30" s="32">
        <f t="shared" si="5"/>
        <v>0</v>
      </c>
      <c r="V30" s="20">
        <f>WeeklyRankMoney!R29</f>
        <v>0</v>
      </c>
      <c r="W30" s="20">
        <f>WeeklyRankMoney!S29</f>
        <v>0</v>
      </c>
      <c r="X30" s="20">
        <f>WeeklyRankMoney!T29</f>
        <v>0</v>
      </c>
      <c r="Y30" s="34">
        <f>Strokes!Q29</f>
        <v>0</v>
      </c>
      <c r="Z30" s="27"/>
      <c r="AA30" s="27"/>
      <c r="AB30" s="27"/>
      <c r="AC30" s="27"/>
      <c r="AD30" s="27"/>
      <c r="AE30" s="27"/>
      <c r="AF30" s="27"/>
      <c r="AG30" s="27"/>
    </row>
    <row r="31">
      <c r="A31" s="26" t="str">
        <f>Actuals!B30</f>
        <v>Preston C</v>
      </c>
      <c r="B31" s="30">
        <f>if( Actuals!$A30=1,0,(IF(WeeklyRankPoints!B30 &gt; 10,0,(IF(WeeklyRankPoints!B30 = 0,0,VLOOKUP(WeeklyRankPoints!B30,$AA$5:$AB$14,2))*B$3)) + IF(Actuals!C30  = "",0,10)))</f>
        <v>55</v>
      </c>
      <c r="C31" s="30">
        <f>if( Actuals!$A30=1,0,(IF(WeeklyRankPoints!C30 &gt; 10,0,(IF(WeeklyRankPoints!C30 = 0,0,VLOOKUP(WeeklyRankPoints!C30,$AA$5:$AB$14,2))*C$3)) + IF(Actuals!D30  = "",0,10)))</f>
        <v>19</v>
      </c>
      <c r="D31" s="30">
        <f>if( Actuals!$A30=1,0,(IF(WeeklyRankPoints!D30 &gt; 10,0,(IF(WeeklyRankPoints!D30 = 0,0,VLOOKUP(WeeklyRankPoints!D30,$AA$5:$AB$14,2))*D$3)) + IF(Actuals!E30  = "",0,10)))</f>
        <v>55</v>
      </c>
      <c r="E31" s="30">
        <f>if( Actuals!$A30=1,0,(IF(WeeklyRankPoints!E30 &gt; 10,0,(IF(WeeklyRankPoints!E30 = 0,0,VLOOKUP(WeeklyRankPoints!E30,$AA$5:$AB$14,2))*E$3)) + IF(Actuals!F30  = "",0,10)))</f>
        <v>0</v>
      </c>
      <c r="F31" s="30">
        <f>if( Actuals!$A30=1,0,(IF(WeeklyRankPoints!F30 &gt; 10,0,(IF(WeeklyRankPoints!F30 = 0,0,VLOOKUP(WeeklyRankPoints!F30,$AA$5:$AB$14,2))*F$3)) + IF(Actuals!G30  = "",0,10)))</f>
        <v>0</v>
      </c>
      <c r="G31" s="30">
        <f>if( Actuals!$A30=1,0,(IF(WeeklyRankPoints!G30 &gt; 10,0,(IF(WeeklyRankPoints!G30 = 0,0,VLOOKUP(WeeklyRankPoints!G30,$AA$5:$AB$14,2))*G$3)) + IF(Actuals!H30  = "",0,10)))</f>
        <v>0</v>
      </c>
      <c r="H31" s="30">
        <f>if( Actuals!$A30=1,0,(IF(WeeklyRankPoints!H30 &gt; 10,0,(IF(WeeklyRankPoints!H30 = 0,0,VLOOKUP(WeeklyRankPoints!H30,$AA$5:$AB$14,2))*H$3)) + IF(Actuals!I30  = "",0,10)))</f>
        <v>0</v>
      </c>
      <c r="I31" s="30">
        <f>if( Actuals!$A30=1,0,(IF(WeeklyRankPoints!I30 &gt; 10,0,(IF(WeeklyRankPoints!I30 = 0,0,VLOOKUP(WeeklyRankPoints!I30,$AA$5:$AB$14,2))*I$3)) + IF(Actuals!J30  = "",0,10)))</f>
        <v>0</v>
      </c>
      <c r="J31" s="30">
        <f>if( Actuals!$A30=1,0,(IF(WeeklyRankPoints!J30 &gt; 10,0,(IF(WeeklyRankPoints!J30 = 0,0,VLOOKUP(WeeklyRankPoints!J30,$AA$5:$AB$14,2))*J$3)) + IF(Actuals!K30  = "",0,10)))</f>
        <v>0</v>
      </c>
      <c r="K31" s="30">
        <f>if( Actuals!$A30=1,0,(IF(WeeklyRankPoints!K30 &gt; 10,0,(IF(WeeklyRankPoints!K30 = 0,0,VLOOKUP(WeeklyRankPoints!K30,$AA$5:$AB$14,2))*K$3)) + IF(Actuals!L30  = "",0,10)))</f>
        <v>0</v>
      </c>
      <c r="L31" s="30">
        <f>if( Actuals!$A30=1,0,(IF(WeeklyRankPoints!L30 &gt; 10,0,(IF(WeeklyRankPoints!L30 = 0,0,VLOOKUP(WeeklyRankPoints!L30,$AA$5:$AB$14,2))*L$3)) + IF(Actuals!M30  = "",0,10)))</f>
        <v>0</v>
      </c>
      <c r="M31" s="30">
        <f>if( Actuals!$A30=1,0,(IF(WeeklyRankPoints!M30 &gt; 10,0,(IF(WeeklyRankPoints!M30 = 0,0,VLOOKUP(WeeklyRankPoints!M30,$AA$5:$AB$14,2))*M$3)) + IF(Actuals!N30  = "",0,10)))</f>
        <v>0</v>
      </c>
      <c r="N31" s="30">
        <f>if( Actuals!$A30=1,0,(IF(WeeklyRankPoints!N30 &gt; 10,0,(IF(WeeklyRankPoints!N30 = 0,0,VLOOKUP(WeeklyRankPoints!N30,$AA$5:$AB$14,2))*N$3)) + IF(Actuals!O30  = "",0,10)))</f>
        <v>0</v>
      </c>
      <c r="O31" s="30">
        <f>if( Actuals!$A30=1,0,(IF(WeeklyRankPoints!O30 &gt; 10,0,(IF(WeeklyRankPoints!O30 = 0,0,VLOOKUP(WeeklyRankPoints!O30,$AA$5:$AB$14,2))*O$3)) + IF(Actuals!P30  = "",0,10)))</f>
        <v>0</v>
      </c>
      <c r="P31" s="30">
        <f>if( Actuals!$A30=1,0,(IF(WeeklyRankPoints!P30 &gt; 10,0,(IF(WeeklyRankPoints!P30 = 0,0,VLOOKUP(WeeklyRankPoints!P30,$AA$5:$AB$14,2))*P$3)) + IF(Actuals!Q30  = "",0,10)))</f>
        <v>0</v>
      </c>
      <c r="Q31" s="30">
        <f>if( Actuals!$A30=1,0,(IF(WeeklyRankPoints!Q30 &gt; 10,0,(IF(WeeklyRankPoints!Q30 = 0,0,VLOOKUP(WeeklyRankPoints!Q30,$AA$5:$AB$14,2))*Q$3)) + IF(Actuals!R30  = "",0,10)))</f>
        <v>0</v>
      </c>
      <c r="R31" s="32">
        <f t="shared" si="3"/>
        <v>129</v>
      </c>
      <c r="S31" s="33">
        <f t="shared" si="4"/>
        <v>6</v>
      </c>
      <c r="T31" s="30">
        <f>COUNT(Actuals!C30:R30)</f>
        <v>3</v>
      </c>
      <c r="U31" s="32">
        <f t="shared" si="5"/>
        <v>43</v>
      </c>
      <c r="V31" s="20">
        <f>WeeklyRankMoney!R30</f>
        <v>0</v>
      </c>
      <c r="W31" s="20">
        <f>WeeklyRankMoney!S30</f>
        <v>0</v>
      </c>
      <c r="X31" s="20">
        <f>WeeklyRankMoney!T30</f>
        <v>2</v>
      </c>
      <c r="Y31" s="34">
        <f>Strokes!Q30</f>
        <v>-3</v>
      </c>
      <c r="Z31" s="27"/>
      <c r="AA31" s="27"/>
      <c r="AB31" s="27"/>
      <c r="AC31" s="27"/>
      <c r="AD31" s="27"/>
      <c r="AE31" s="27"/>
      <c r="AF31" s="27"/>
      <c r="AG31" s="27"/>
    </row>
    <row r="32">
      <c r="A32" s="26" t="str">
        <f>Actuals!B31</f>
        <v>Rich</v>
      </c>
      <c r="B32" s="30">
        <f>if( Actuals!$A31=1,0,(IF(WeeklyRankPoints!B31 &gt; 10,0,(IF(WeeklyRankPoints!B31 = 0,0,VLOOKUP(WeeklyRankPoints!B31,$AA$5:$AB$14,2))*B$3)) + IF(Actuals!C31  = "",0,10)))</f>
        <v>0</v>
      </c>
      <c r="C32" s="30">
        <f>if( Actuals!$A31=1,0,(IF(WeeklyRankPoints!C31 &gt; 10,0,(IF(WeeklyRankPoints!C31 = 0,0,VLOOKUP(WeeklyRankPoints!C31,$AA$5:$AB$14,2))*C$3)) + IF(Actuals!D31  = "",0,10)))</f>
        <v>0</v>
      </c>
      <c r="D32" s="30">
        <f>if( Actuals!$A31=1,0,(IF(WeeklyRankPoints!D31 &gt; 10,0,(IF(WeeklyRankPoints!D31 = 0,0,VLOOKUP(WeeklyRankPoints!D31,$AA$5:$AB$14,2))*D$3)) + IF(Actuals!E31  = "",0,10)))</f>
        <v>75</v>
      </c>
      <c r="E32" s="30">
        <f>if( Actuals!$A31=1,0,(IF(WeeklyRankPoints!E31 &gt; 10,0,(IF(WeeklyRankPoints!E31 = 0,0,VLOOKUP(WeeklyRankPoints!E31,$AA$5:$AB$14,2))*E$3)) + IF(Actuals!F31  = "",0,10)))</f>
        <v>0</v>
      </c>
      <c r="F32" s="30">
        <f>if( Actuals!$A31=1,0,(IF(WeeklyRankPoints!F31 &gt; 10,0,(IF(WeeklyRankPoints!F31 = 0,0,VLOOKUP(WeeklyRankPoints!F31,$AA$5:$AB$14,2))*F$3)) + IF(Actuals!G31  = "",0,10)))</f>
        <v>0</v>
      </c>
      <c r="G32" s="30">
        <f>if( Actuals!$A31=1,0,(IF(WeeklyRankPoints!G31 &gt; 10,0,(IF(WeeklyRankPoints!G31 = 0,0,VLOOKUP(WeeklyRankPoints!G31,$AA$5:$AB$14,2))*G$3)) + IF(Actuals!H31  = "",0,10)))</f>
        <v>0</v>
      </c>
      <c r="H32" s="30">
        <f>if( Actuals!$A31=1,0,(IF(WeeklyRankPoints!H31 &gt; 10,0,(IF(WeeklyRankPoints!H31 = 0,0,VLOOKUP(WeeklyRankPoints!H31,$AA$5:$AB$14,2))*H$3)) + IF(Actuals!I31  = "",0,10)))</f>
        <v>0</v>
      </c>
      <c r="I32" s="30">
        <f>if( Actuals!$A31=1,0,(IF(WeeklyRankPoints!I31 &gt; 10,0,(IF(WeeklyRankPoints!I31 = 0,0,VLOOKUP(WeeklyRankPoints!I31,$AA$5:$AB$14,2))*I$3)) + IF(Actuals!J31  = "",0,10)))</f>
        <v>0</v>
      </c>
      <c r="J32" s="30">
        <f>if( Actuals!$A31=1,0,(IF(WeeklyRankPoints!J31 &gt; 10,0,(IF(WeeklyRankPoints!J31 = 0,0,VLOOKUP(WeeklyRankPoints!J31,$AA$5:$AB$14,2))*J$3)) + IF(Actuals!K31  = "",0,10)))</f>
        <v>0</v>
      </c>
      <c r="K32" s="30">
        <f>if( Actuals!$A31=1,0,(IF(WeeklyRankPoints!K31 &gt; 10,0,(IF(WeeklyRankPoints!K31 = 0,0,VLOOKUP(WeeklyRankPoints!K31,$AA$5:$AB$14,2))*K$3)) + IF(Actuals!L31  = "",0,10)))</f>
        <v>0</v>
      </c>
      <c r="L32" s="30">
        <f>if( Actuals!$A31=1,0,(IF(WeeklyRankPoints!L31 &gt; 10,0,(IF(WeeklyRankPoints!L31 = 0,0,VLOOKUP(WeeklyRankPoints!L31,$AA$5:$AB$14,2))*L$3)) + IF(Actuals!M31  = "",0,10)))</f>
        <v>0</v>
      </c>
      <c r="M32" s="30">
        <f>if( Actuals!$A31=1,0,(IF(WeeklyRankPoints!M31 &gt; 10,0,(IF(WeeklyRankPoints!M31 = 0,0,VLOOKUP(WeeklyRankPoints!M31,$AA$5:$AB$14,2))*M$3)) + IF(Actuals!N31  = "",0,10)))</f>
        <v>0</v>
      </c>
      <c r="N32" s="30">
        <f>if( Actuals!$A31=1,0,(IF(WeeklyRankPoints!N31 &gt; 10,0,(IF(WeeklyRankPoints!N31 = 0,0,VLOOKUP(WeeklyRankPoints!N31,$AA$5:$AB$14,2))*N$3)) + IF(Actuals!O31  = "",0,10)))</f>
        <v>0</v>
      </c>
      <c r="O32" s="30">
        <f>if( Actuals!$A31=1,0,(IF(WeeklyRankPoints!O31 &gt; 10,0,(IF(WeeklyRankPoints!O31 = 0,0,VLOOKUP(WeeklyRankPoints!O31,$AA$5:$AB$14,2))*O$3)) + IF(Actuals!P31  = "",0,10)))</f>
        <v>0</v>
      </c>
      <c r="P32" s="30">
        <f>if( Actuals!$A31=1,0,(IF(WeeklyRankPoints!P31 &gt; 10,0,(IF(WeeklyRankPoints!P31 = 0,0,VLOOKUP(WeeklyRankPoints!P31,$AA$5:$AB$14,2))*P$3)) + IF(Actuals!Q31  = "",0,10)))</f>
        <v>0</v>
      </c>
      <c r="Q32" s="30">
        <f>if( Actuals!$A31=1,0,(IF(WeeklyRankPoints!Q31 &gt; 10,0,(IF(WeeklyRankPoints!Q31 = 0,0,VLOOKUP(WeeklyRankPoints!Q31,$AA$5:$AB$14,2))*Q$3)) + IF(Actuals!R31  = "",0,10)))</f>
        <v>0</v>
      </c>
      <c r="R32" s="32">
        <f t="shared" si="3"/>
        <v>75</v>
      </c>
      <c r="S32" s="33">
        <f t="shared" si="4"/>
        <v>11</v>
      </c>
      <c r="T32" s="30">
        <f>COUNT(Actuals!C31:R31)</f>
        <v>1</v>
      </c>
      <c r="U32" s="32">
        <f t="shared" si="5"/>
        <v>75</v>
      </c>
      <c r="V32" s="20">
        <f>WeeklyRankMoney!R31</f>
        <v>0</v>
      </c>
      <c r="W32" s="20">
        <f>WeeklyRankMoney!S31</f>
        <v>0</v>
      </c>
      <c r="X32" s="20">
        <f>WeeklyRankMoney!T31</f>
        <v>1</v>
      </c>
      <c r="Y32" s="34">
        <f>Strokes!Q31</f>
        <v>-7.7</v>
      </c>
      <c r="Z32" s="27"/>
      <c r="AA32" s="27"/>
      <c r="AB32" s="27"/>
      <c r="AC32" s="27"/>
      <c r="AD32" s="27"/>
      <c r="AE32" s="27"/>
      <c r="AF32" s="27"/>
      <c r="AG32" s="27"/>
    </row>
    <row r="33">
      <c r="A33" s="26" t="str">
        <f>Actuals!B32</f>
        <v>Russ B</v>
      </c>
      <c r="B33" s="30">
        <f>if( Actuals!$A32=1,0,(IF(WeeklyRankPoints!B32 &gt; 10,0,(IF(WeeklyRankPoints!B32 = 0,0,VLOOKUP(WeeklyRankPoints!B32,$AA$5:$AB$14,2))*B$3)) + IF(Actuals!C32  = "",0,10)))</f>
        <v>0</v>
      </c>
      <c r="C33" s="30">
        <f>if( Actuals!$A32=1,0,(IF(WeeklyRankPoints!C32 &gt; 10,0,(IF(WeeklyRankPoints!C32 = 0,0,VLOOKUP(WeeklyRankPoints!C32,$AA$5:$AB$14,2))*C$3)) + IF(Actuals!D32  = "",0,10)))</f>
        <v>0</v>
      </c>
      <c r="D33" s="30">
        <f>if( Actuals!$A32=1,0,(IF(WeeklyRankPoints!D32 &gt; 10,0,(IF(WeeklyRankPoints!D32 = 0,0,VLOOKUP(WeeklyRankPoints!D32,$AA$5:$AB$14,2))*D$3)) + IF(Actuals!E32  = "",0,10)))</f>
        <v>0</v>
      </c>
      <c r="E33" s="30">
        <f>if( Actuals!$A32=1,0,(IF(WeeklyRankPoints!E32 &gt; 10,0,(IF(WeeklyRankPoints!E32 = 0,0,VLOOKUP(WeeklyRankPoints!E32,$AA$5:$AB$14,2))*E$3)) + IF(Actuals!F32  = "",0,10)))</f>
        <v>0</v>
      </c>
      <c r="F33" s="30">
        <f>if( Actuals!$A32=1,0,(IF(WeeklyRankPoints!F32 &gt; 10,0,(IF(WeeklyRankPoints!F32 = 0,0,VLOOKUP(WeeklyRankPoints!F32,$AA$5:$AB$14,2))*F$3)) + IF(Actuals!G32  = "",0,10)))</f>
        <v>0</v>
      </c>
      <c r="G33" s="30">
        <f>if( Actuals!$A32=1,0,(IF(WeeklyRankPoints!G32 &gt; 10,0,(IF(WeeklyRankPoints!G32 = 0,0,VLOOKUP(WeeklyRankPoints!G32,$AA$5:$AB$14,2))*G$3)) + IF(Actuals!H32  = "",0,10)))</f>
        <v>0</v>
      </c>
      <c r="H33" s="30">
        <f>if( Actuals!$A32=1,0,(IF(WeeklyRankPoints!H32 &gt; 10,0,(IF(WeeklyRankPoints!H32 = 0,0,VLOOKUP(WeeklyRankPoints!H32,$AA$5:$AB$14,2))*H$3)) + IF(Actuals!I32  = "",0,10)))</f>
        <v>0</v>
      </c>
      <c r="I33" s="30">
        <f>if( Actuals!$A32=1,0,(IF(WeeklyRankPoints!I32 &gt; 10,0,(IF(WeeklyRankPoints!I32 = 0,0,VLOOKUP(WeeklyRankPoints!I32,$AA$5:$AB$14,2))*I$3)) + IF(Actuals!J32  = "",0,10)))</f>
        <v>0</v>
      </c>
      <c r="J33" s="30">
        <f>if( Actuals!$A32=1,0,(IF(WeeklyRankPoints!J32 &gt; 10,0,(IF(WeeklyRankPoints!J32 = 0,0,VLOOKUP(WeeklyRankPoints!J32,$AA$5:$AB$14,2))*J$3)) + IF(Actuals!K32  = "",0,10)))</f>
        <v>0</v>
      </c>
      <c r="K33" s="30">
        <f>if( Actuals!$A32=1,0,(IF(WeeklyRankPoints!K32 &gt; 10,0,(IF(WeeklyRankPoints!K32 = 0,0,VLOOKUP(WeeklyRankPoints!K32,$AA$5:$AB$14,2))*K$3)) + IF(Actuals!L32  = "",0,10)))</f>
        <v>0</v>
      </c>
      <c r="L33" s="30">
        <f>if( Actuals!$A32=1,0,(IF(WeeklyRankPoints!L32 &gt; 10,0,(IF(WeeklyRankPoints!L32 = 0,0,VLOOKUP(WeeklyRankPoints!L32,$AA$5:$AB$14,2))*L$3)) + IF(Actuals!M32  = "",0,10)))</f>
        <v>0</v>
      </c>
      <c r="M33" s="30">
        <f>if( Actuals!$A32=1,0,(IF(WeeklyRankPoints!M32 &gt; 10,0,(IF(WeeklyRankPoints!M32 = 0,0,VLOOKUP(WeeklyRankPoints!M32,$AA$5:$AB$14,2))*M$3)) + IF(Actuals!N32  = "",0,10)))</f>
        <v>0</v>
      </c>
      <c r="N33" s="30">
        <f>if( Actuals!$A32=1,0,(IF(WeeklyRankPoints!N32 &gt; 10,0,(IF(WeeklyRankPoints!N32 = 0,0,VLOOKUP(WeeklyRankPoints!N32,$AA$5:$AB$14,2))*N$3)) + IF(Actuals!O32  = "",0,10)))</f>
        <v>0</v>
      </c>
      <c r="O33" s="30">
        <f>if( Actuals!$A32=1,0,(IF(WeeklyRankPoints!O32 &gt; 10,0,(IF(WeeklyRankPoints!O32 = 0,0,VLOOKUP(WeeklyRankPoints!O32,$AA$5:$AB$14,2))*O$3)) + IF(Actuals!P32  = "",0,10)))</f>
        <v>0</v>
      </c>
      <c r="P33" s="30">
        <f>if( Actuals!$A32=1,0,(IF(WeeklyRankPoints!P32 &gt; 10,0,(IF(WeeklyRankPoints!P32 = 0,0,VLOOKUP(WeeklyRankPoints!P32,$AA$5:$AB$14,2))*P$3)) + IF(Actuals!Q32  = "",0,10)))</f>
        <v>0</v>
      </c>
      <c r="Q33" s="30">
        <f>if( Actuals!$A32=1,0,(IF(WeeklyRankPoints!Q32 &gt; 10,0,(IF(WeeklyRankPoints!Q32 = 0,0,VLOOKUP(WeeklyRankPoints!Q32,$AA$5:$AB$14,2))*Q$3)) + IF(Actuals!R32  = "",0,10)))</f>
        <v>0</v>
      </c>
      <c r="R33" s="32">
        <f t="shared" si="3"/>
        <v>0</v>
      </c>
      <c r="S33" s="33">
        <f t="shared" si="4"/>
        <v>17</v>
      </c>
      <c r="T33" s="30">
        <f>COUNT(Actuals!C32:R32)</f>
        <v>0</v>
      </c>
      <c r="U33" s="32">
        <f t="shared" si="5"/>
        <v>0</v>
      </c>
      <c r="V33" s="20">
        <f>WeeklyRankMoney!R32</f>
        <v>0</v>
      </c>
      <c r="W33" s="20">
        <f>WeeklyRankMoney!S32</f>
        <v>0</v>
      </c>
      <c r="X33" s="20">
        <f>WeeklyRankMoney!T32</f>
        <v>0</v>
      </c>
      <c r="Y33" s="34">
        <f>Strokes!Q32</f>
        <v>-4.5</v>
      </c>
      <c r="Z33" s="27"/>
      <c r="AA33" s="27"/>
      <c r="AB33" s="27"/>
      <c r="AC33" s="27"/>
      <c r="AD33" s="27"/>
      <c r="AE33" s="27"/>
      <c r="AF33" s="27"/>
      <c r="AG33" s="27"/>
    </row>
    <row r="34">
      <c r="A34" s="26" t="str">
        <f>Actuals!B33</f>
        <v>Russ H</v>
      </c>
      <c r="B34" s="30">
        <f>if( Actuals!$A33=1,0,(IF(WeeklyRankPoints!B33 &gt; 10,0,(IF(WeeklyRankPoints!B33 = 0,0,VLOOKUP(WeeklyRankPoints!B33,$AA$5:$AB$14,2))*B$3)) + IF(Actuals!C33  = "",0,10)))</f>
        <v>0</v>
      </c>
      <c r="C34" s="30">
        <f>if( Actuals!$A33=1,0,(IF(WeeklyRankPoints!C33 &gt; 10,0,(IF(WeeklyRankPoints!C33 = 0,0,VLOOKUP(WeeklyRankPoints!C33,$AA$5:$AB$14,2))*C$3)) + IF(Actuals!D33  = "",0,10)))</f>
        <v>0</v>
      </c>
      <c r="D34" s="30">
        <f>if( Actuals!$A33=1,0,(IF(WeeklyRankPoints!D33 &gt; 10,0,(IF(WeeklyRankPoints!D33 = 0,0,VLOOKUP(WeeklyRankPoints!D33,$AA$5:$AB$14,2))*D$3)) + IF(Actuals!E33  = "",0,10)))</f>
        <v>0</v>
      </c>
      <c r="E34" s="30">
        <f>if( Actuals!$A33=1,0,(IF(WeeklyRankPoints!E33 &gt; 10,0,(IF(WeeklyRankPoints!E33 = 0,0,VLOOKUP(WeeklyRankPoints!E33,$AA$5:$AB$14,2))*E$3)) + IF(Actuals!F33  = "",0,10)))</f>
        <v>0</v>
      </c>
      <c r="F34" s="30">
        <f>if( Actuals!$A33=1,0,(IF(WeeklyRankPoints!F33 &gt; 10,0,(IF(WeeklyRankPoints!F33 = 0,0,VLOOKUP(WeeklyRankPoints!F33,$AA$5:$AB$14,2))*F$3)) + IF(Actuals!G33  = "",0,10)))</f>
        <v>0</v>
      </c>
      <c r="G34" s="30">
        <f>if( Actuals!$A33=1,0,(IF(WeeklyRankPoints!G33 &gt; 10,0,(IF(WeeklyRankPoints!G33 = 0,0,VLOOKUP(WeeklyRankPoints!G33,$AA$5:$AB$14,2))*G$3)) + IF(Actuals!H33  = "",0,10)))</f>
        <v>0</v>
      </c>
      <c r="H34" s="30">
        <f>if( Actuals!$A33=1,0,(IF(WeeklyRankPoints!H33 &gt; 10,0,(IF(WeeklyRankPoints!H33 = 0,0,VLOOKUP(WeeklyRankPoints!H33,$AA$5:$AB$14,2))*H$3)) + IF(Actuals!I33  = "",0,10)))</f>
        <v>0</v>
      </c>
      <c r="I34" s="30">
        <f>if( Actuals!$A33=1,0,(IF(WeeklyRankPoints!I33 &gt; 10,0,(IF(WeeklyRankPoints!I33 = 0,0,VLOOKUP(WeeklyRankPoints!I33,$AA$5:$AB$14,2))*I$3)) + IF(Actuals!J33  = "",0,10)))</f>
        <v>0</v>
      </c>
      <c r="J34" s="30">
        <f>if( Actuals!$A33=1,0,(IF(WeeklyRankPoints!J33 &gt; 10,0,(IF(WeeklyRankPoints!J33 = 0,0,VLOOKUP(WeeklyRankPoints!J33,$AA$5:$AB$14,2))*J$3)) + IF(Actuals!K33  = "",0,10)))</f>
        <v>0</v>
      </c>
      <c r="K34" s="30">
        <f>if( Actuals!$A33=1,0,(IF(WeeklyRankPoints!K33 &gt; 10,0,(IF(WeeklyRankPoints!K33 = 0,0,VLOOKUP(WeeklyRankPoints!K33,$AA$5:$AB$14,2))*K$3)) + IF(Actuals!L33  = "",0,10)))</f>
        <v>0</v>
      </c>
      <c r="L34" s="30">
        <f>if( Actuals!$A33=1,0,(IF(WeeklyRankPoints!L33 &gt; 10,0,(IF(WeeklyRankPoints!L33 = 0,0,VLOOKUP(WeeklyRankPoints!L33,$AA$5:$AB$14,2))*L$3)) + IF(Actuals!M33  = "",0,10)))</f>
        <v>0</v>
      </c>
      <c r="M34" s="30">
        <f>if( Actuals!$A33=1,0,(IF(WeeklyRankPoints!M33 &gt; 10,0,(IF(WeeklyRankPoints!M33 = 0,0,VLOOKUP(WeeklyRankPoints!M33,$AA$5:$AB$14,2))*M$3)) + IF(Actuals!N33  = "",0,10)))</f>
        <v>0</v>
      </c>
      <c r="N34" s="30">
        <f>if( Actuals!$A33=1,0,(IF(WeeklyRankPoints!N33 &gt; 10,0,(IF(WeeklyRankPoints!N33 = 0,0,VLOOKUP(WeeklyRankPoints!N33,$AA$5:$AB$14,2))*N$3)) + IF(Actuals!O33  = "",0,10)))</f>
        <v>0</v>
      </c>
      <c r="O34" s="30">
        <f>if( Actuals!$A33=1,0,(IF(WeeklyRankPoints!O33 &gt; 10,0,(IF(WeeklyRankPoints!O33 = 0,0,VLOOKUP(WeeklyRankPoints!O33,$AA$5:$AB$14,2))*O$3)) + IF(Actuals!P33  = "",0,10)))</f>
        <v>0</v>
      </c>
      <c r="P34" s="30">
        <f>if( Actuals!$A33=1,0,(IF(WeeklyRankPoints!P33 &gt; 10,0,(IF(WeeklyRankPoints!P33 = 0,0,VLOOKUP(WeeklyRankPoints!P33,$AA$5:$AB$14,2))*P$3)) + IF(Actuals!Q33  = "",0,10)))</f>
        <v>0</v>
      </c>
      <c r="Q34" s="30">
        <f>if( Actuals!$A33=1,0,(IF(WeeklyRankPoints!Q33 &gt; 10,0,(IF(WeeklyRankPoints!Q33 = 0,0,VLOOKUP(WeeklyRankPoints!Q33,$AA$5:$AB$14,2))*Q$3)) + IF(Actuals!R33  = "",0,10)))</f>
        <v>0</v>
      </c>
      <c r="R34" s="32">
        <f t="shared" si="3"/>
        <v>0</v>
      </c>
      <c r="S34" s="33">
        <f t="shared" si="4"/>
        <v>17</v>
      </c>
      <c r="T34" s="30">
        <f>COUNT(Actuals!C33:R33)</f>
        <v>0</v>
      </c>
      <c r="U34" s="32">
        <f t="shared" si="5"/>
        <v>0</v>
      </c>
      <c r="V34" s="20">
        <f>WeeklyRankMoney!R33</f>
        <v>0</v>
      </c>
      <c r="W34" s="20">
        <f>WeeklyRankMoney!S33</f>
        <v>0</v>
      </c>
      <c r="X34" s="20">
        <f>WeeklyRankMoney!T33</f>
        <v>0</v>
      </c>
      <c r="Y34" s="34">
        <f>Strokes!Q33</f>
        <v>-7.5</v>
      </c>
      <c r="Z34" s="27"/>
      <c r="AA34" s="27"/>
      <c r="AB34" s="27"/>
      <c r="AC34" s="27"/>
      <c r="AD34" s="27"/>
      <c r="AE34" s="27"/>
      <c r="AF34" s="27"/>
      <c r="AG34" s="27"/>
    </row>
    <row r="35">
      <c r="A35" s="26" t="str">
        <f>Actuals!B34</f>
        <v>Ryan R</v>
      </c>
      <c r="B35" s="30">
        <f>if( Actuals!$A34=1,0,(IF(WeeklyRankPoints!B34 &gt; 10,0,(IF(WeeklyRankPoints!B34 = 0,0,VLOOKUP(WeeklyRankPoints!B34,$AA$5:$AB$14,2))*B$3)) + IF(Actuals!C34  = "",0,10)))</f>
        <v>0</v>
      </c>
      <c r="C35" s="30">
        <f>if( Actuals!$A34=1,0,(IF(WeeklyRankPoints!C34 &gt; 10,0,(IF(WeeklyRankPoints!C34 = 0,0,VLOOKUP(WeeklyRankPoints!C34,$AA$5:$AB$14,2))*C$3)) + IF(Actuals!D34  = "",0,10)))</f>
        <v>0</v>
      </c>
      <c r="D35" s="30">
        <f>if( Actuals!$A34=1,0,(IF(WeeklyRankPoints!D34 &gt; 10,0,(IF(WeeklyRankPoints!D34 = 0,0,VLOOKUP(WeeklyRankPoints!D34,$AA$5:$AB$14,2))*D$3)) + IF(Actuals!E34  = "",0,10)))</f>
        <v>0</v>
      </c>
      <c r="E35" s="30">
        <f>if( Actuals!$A34=1,0,(IF(WeeklyRankPoints!E34 &gt; 10,0,(IF(WeeklyRankPoints!E34 = 0,0,VLOOKUP(WeeklyRankPoints!E34,$AA$5:$AB$14,2))*E$3)) + IF(Actuals!F34  = "",0,10)))</f>
        <v>0</v>
      </c>
      <c r="F35" s="30">
        <f>if( Actuals!$A34=1,0,(IF(WeeklyRankPoints!F34 &gt; 10,0,(IF(WeeklyRankPoints!F34 = 0,0,VLOOKUP(WeeklyRankPoints!F34,$AA$5:$AB$14,2))*F$3)) + IF(Actuals!G34  = "",0,10)))</f>
        <v>0</v>
      </c>
      <c r="G35" s="30">
        <f>if( Actuals!$A34=1,0,(IF(WeeklyRankPoints!G34 &gt; 10,0,(IF(WeeklyRankPoints!G34 = 0,0,VLOOKUP(WeeklyRankPoints!G34,$AA$5:$AB$14,2))*G$3)) + IF(Actuals!H34  = "",0,10)))</f>
        <v>0</v>
      </c>
      <c r="H35" s="30">
        <f>if( Actuals!$A34=1,0,(IF(WeeklyRankPoints!H34 &gt; 10,0,(IF(WeeklyRankPoints!H34 = 0,0,VLOOKUP(WeeklyRankPoints!H34,$AA$5:$AB$14,2))*H$3)) + IF(Actuals!I34  = "",0,10)))</f>
        <v>0</v>
      </c>
      <c r="I35" s="30">
        <f>if( Actuals!$A34=1,0,(IF(WeeklyRankPoints!I34 &gt; 10,0,(IF(WeeklyRankPoints!I34 = 0,0,VLOOKUP(WeeklyRankPoints!I34,$AA$5:$AB$14,2))*I$3)) + IF(Actuals!J34  = "",0,10)))</f>
        <v>0</v>
      </c>
      <c r="J35" s="30">
        <f>if( Actuals!$A34=1,0,(IF(WeeklyRankPoints!J34 &gt; 10,0,(IF(WeeklyRankPoints!J34 = 0,0,VLOOKUP(WeeklyRankPoints!J34,$AA$5:$AB$14,2))*J$3)) + IF(Actuals!K34  = "",0,10)))</f>
        <v>0</v>
      </c>
      <c r="K35" s="30">
        <f>if( Actuals!$A34=1,0,(IF(WeeklyRankPoints!K34 &gt; 10,0,(IF(WeeklyRankPoints!K34 = 0,0,VLOOKUP(WeeklyRankPoints!K34,$AA$5:$AB$14,2))*K$3)) + IF(Actuals!L34  = "",0,10)))</f>
        <v>0</v>
      </c>
      <c r="L35" s="30">
        <f>if( Actuals!$A34=1,0,(IF(WeeklyRankPoints!L34 &gt; 10,0,(IF(WeeklyRankPoints!L34 = 0,0,VLOOKUP(WeeklyRankPoints!L34,$AA$5:$AB$14,2))*L$3)) + IF(Actuals!M34  = "",0,10)))</f>
        <v>0</v>
      </c>
      <c r="M35" s="30">
        <f>if( Actuals!$A34=1,0,(IF(WeeklyRankPoints!M34 &gt; 10,0,(IF(WeeklyRankPoints!M34 = 0,0,VLOOKUP(WeeklyRankPoints!M34,$AA$5:$AB$14,2))*M$3)) + IF(Actuals!N34  = "",0,10)))</f>
        <v>0</v>
      </c>
      <c r="N35" s="30">
        <f>if( Actuals!$A34=1,0,(IF(WeeklyRankPoints!N34 &gt; 10,0,(IF(WeeklyRankPoints!N34 = 0,0,VLOOKUP(WeeklyRankPoints!N34,$AA$5:$AB$14,2))*N$3)) + IF(Actuals!O34  = "",0,10)))</f>
        <v>0</v>
      </c>
      <c r="O35" s="30">
        <f>if( Actuals!$A34=1,0,(IF(WeeklyRankPoints!O34 &gt; 10,0,(IF(WeeklyRankPoints!O34 = 0,0,VLOOKUP(WeeklyRankPoints!O34,$AA$5:$AB$14,2))*O$3)) + IF(Actuals!P34  = "",0,10)))</f>
        <v>0</v>
      </c>
      <c r="P35" s="30">
        <f>if( Actuals!$A34=1,0,(IF(WeeklyRankPoints!P34 &gt; 10,0,(IF(WeeklyRankPoints!P34 = 0,0,VLOOKUP(WeeklyRankPoints!P34,$AA$5:$AB$14,2))*P$3)) + IF(Actuals!Q34  = "",0,10)))</f>
        <v>0</v>
      </c>
      <c r="Q35" s="30">
        <f>if( Actuals!$A34=1,0,(IF(WeeklyRankPoints!Q34 &gt; 10,0,(IF(WeeklyRankPoints!Q34 = 0,0,VLOOKUP(WeeklyRankPoints!Q34,$AA$5:$AB$14,2))*Q$3)) + IF(Actuals!R34  = "",0,10)))</f>
        <v>0</v>
      </c>
      <c r="R35" s="32">
        <f t="shared" si="3"/>
        <v>0</v>
      </c>
      <c r="S35" s="33">
        <f t="shared" si="4"/>
        <v>17</v>
      </c>
      <c r="T35" s="30">
        <f>COUNT(Actuals!C34:R34)</f>
        <v>0</v>
      </c>
      <c r="U35" s="32">
        <f t="shared" si="5"/>
        <v>0</v>
      </c>
      <c r="V35" s="20">
        <f>WeeklyRankMoney!R34</f>
        <v>0</v>
      </c>
      <c r="W35" s="20">
        <f>WeeklyRankMoney!S34</f>
        <v>0</v>
      </c>
      <c r="X35" s="20">
        <f>WeeklyRankMoney!T34</f>
        <v>0</v>
      </c>
      <c r="Y35" s="34">
        <f>Strokes!Q34</f>
        <v>0.8</v>
      </c>
      <c r="Z35" s="27"/>
      <c r="AA35" s="27"/>
      <c r="AB35" s="27"/>
      <c r="AC35" s="27"/>
      <c r="AD35" s="27"/>
      <c r="AE35" s="27"/>
      <c r="AF35" s="27"/>
      <c r="AG35" s="27"/>
    </row>
    <row r="36">
      <c r="A36" s="26" t="str">
        <f>Actuals!B35</f>
        <v>Scott M</v>
      </c>
      <c r="B36" s="30">
        <f>if( Actuals!$A35=1,0,(IF(WeeklyRankPoints!B35 &gt; 10,0,(IF(WeeklyRankPoints!B35 = 0,0,VLOOKUP(WeeklyRankPoints!B35,$AA$5:$AB$14,2))*B$3)) + IF(Actuals!C35  = "",0,10)))</f>
        <v>0</v>
      </c>
      <c r="C36" s="30">
        <f>if( Actuals!$A35=1,0,(IF(WeeklyRankPoints!C35 &gt; 10,0,(IF(WeeklyRankPoints!C35 = 0,0,VLOOKUP(WeeklyRankPoints!C35,$AA$5:$AB$14,2))*C$3)) + IF(Actuals!D35  = "",0,10)))</f>
        <v>0</v>
      </c>
      <c r="D36" s="30">
        <f>if( Actuals!$A35=1,0,(IF(WeeklyRankPoints!D35 &gt; 10,0,(IF(WeeklyRankPoints!D35 = 0,0,VLOOKUP(WeeklyRankPoints!D35,$AA$5:$AB$14,2))*D$3)) + IF(Actuals!E35  = "",0,10)))</f>
        <v>0</v>
      </c>
      <c r="E36" s="30">
        <f>if( Actuals!$A35=1,0,(IF(WeeklyRankPoints!E35 &gt; 10,0,(IF(WeeklyRankPoints!E35 = 0,0,VLOOKUP(WeeklyRankPoints!E35,$AA$5:$AB$14,2))*E$3)) + IF(Actuals!F35  = "",0,10)))</f>
        <v>0</v>
      </c>
      <c r="F36" s="30">
        <f>if( Actuals!$A35=1,0,(IF(WeeklyRankPoints!F35 &gt; 10,0,(IF(WeeklyRankPoints!F35 = 0,0,VLOOKUP(WeeklyRankPoints!F35,$AA$5:$AB$14,2))*F$3)) + IF(Actuals!G35  = "",0,10)))</f>
        <v>0</v>
      </c>
      <c r="G36" s="30">
        <f>if( Actuals!$A35=1,0,(IF(WeeklyRankPoints!G35 &gt; 10,0,(IF(WeeklyRankPoints!G35 = 0,0,VLOOKUP(WeeklyRankPoints!G35,$AA$5:$AB$14,2))*G$3)) + IF(Actuals!H35  = "",0,10)))</f>
        <v>0</v>
      </c>
      <c r="H36" s="30">
        <f>if( Actuals!$A35=1,0,(IF(WeeklyRankPoints!H35 &gt; 10,0,(IF(WeeklyRankPoints!H35 = 0,0,VLOOKUP(WeeklyRankPoints!H35,$AA$5:$AB$14,2))*H$3)) + IF(Actuals!I35  = "",0,10)))</f>
        <v>0</v>
      </c>
      <c r="I36" s="30">
        <f>if( Actuals!$A35=1,0,(IF(WeeklyRankPoints!I35 &gt; 10,0,(IF(WeeklyRankPoints!I35 = 0,0,VLOOKUP(WeeklyRankPoints!I35,$AA$5:$AB$14,2))*I$3)) + IF(Actuals!J35  = "",0,10)))</f>
        <v>0</v>
      </c>
      <c r="J36" s="30">
        <f>if( Actuals!$A35=1,0,(IF(WeeklyRankPoints!J35 &gt; 10,0,(IF(WeeklyRankPoints!J35 = 0,0,VLOOKUP(WeeklyRankPoints!J35,$AA$5:$AB$14,2))*J$3)) + IF(Actuals!K35  = "",0,10)))</f>
        <v>0</v>
      </c>
      <c r="K36" s="30">
        <f>if( Actuals!$A35=1,0,(IF(WeeklyRankPoints!K35 &gt; 10,0,(IF(WeeklyRankPoints!K35 = 0,0,VLOOKUP(WeeklyRankPoints!K35,$AA$5:$AB$14,2))*K$3)) + IF(Actuals!L35  = "",0,10)))</f>
        <v>0</v>
      </c>
      <c r="L36" s="30">
        <f>if( Actuals!$A35=1,0,(IF(WeeklyRankPoints!L35 &gt; 10,0,(IF(WeeklyRankPoints!L35 = 0,0,VLOOKUP(WeeklyRankPoints!L35,$AA$5:$AB$14,2))*L$3)) + IF(Actuals!M35  = "",0,10)))</f>
        <v>0</v>
      </c>
      <c r="M36" s="30">
        <f>if( Actuals!$A35=1,0,(IF(WeeklyRankPoints!M35 &gt; 10,0,(IF(WeeklyRankPoints!M35 = 0,0,VLOOKUP(WeeklyRankPoints!M35,$AA$5:$AB$14,2))*M$3)) + IF(Actuals!N35  = "",0,10)))</f>
        <v>0</v>
      </c>
      <c r="N36" s="30">
        <f>if( Actuals!$A35=1,0,(IF(WeeklyRankPoints!N35 &gt; 10,0,(IF(WeeklyRankPoints!N35 = 0,0,VLOOKUP(WeeklyRankPoints!N35,$AA$5:$AB$14,2))*N$3)) + IF(Actuals!O35  = "",0,10)))</f>
        <v>0</v>
      </c>
      <c r="O36" s="30">
        <f>if( Actuals!$A35=1,0,(IF(WeeklyRankPoints!O35 &gt; 10,0,(IF(WeeklyRankPoints!O35 = 0,0,VLOOKUP(WeeklyRankPoints!O35,$AA$5:$AB$14,2))*O$3)) + IF(Actuals!P35  = "",0,10)))</f>
        <v>0</v>
      </c>
      <c r="P36" s="30">
        <f>if( Actuals!$A35=1,0,(IF(WeeklyRankPoints!P35 &gt; 10,0,(IF(WeeklyRankPoints!P35 = 0,0,VLOOKUP(WeeklyRankPoints!P35,$AA$5:$AB$14,2))*P$3)) + IF(Actuals!Q35  = "",0,10)))</f>
        <v>0</v>
      </c>
      <c r="Q36" s="30">
        <f>if( Actuals!$A35=1,0,(IF(WeeklyRankPoints!Q35 &gt; 10,0,(IF(WeeklyRankPoints!Q35 = 0,0,VLOOKUP(WeeklyRankPoints!Q35,$AA$5:$AB$14,2))*Q$3)) + IF(Actuals!R35  = "",0,10)))</f>
        <v>0</v>
      </c>
      <c r="R36" s="32">
        <f t="shared" si="3"/>
        <v>0</v>
      </c>
      <c r="S36" s="33">
        <f t="shared" si="4"/>
        <v>17</v>
      </c>
      <c r="T36" s="30">
        <f>COUNT(Actuals!C35:R35)</f>
        <v>0</v>
      </c>
      <c r="U36" s="32">
        <f t="shared" si="5"/>
        <v>0</v>
      </c>
      <c r="V36" s="20">
        <f>WeeklyRankMoney!R35</f>
        <v>0</v>
      </c>
      <c r="W36" s="20">
        <f>WeeklyRankMoney!S35</f>
        <v>0</v>
      </c>
      <c r="X36" s="20">
        <f>WeeklyRankMoney!T35</f>
        <v>0</v>
      </c>
      <c r="Y36" s="34">
        <f>Strokes!Q35</f>
        <v>-3.1</v>
      </c>
      <c r="Z36" s="27"/>
      <c r="AA36" s="27"/>
      <c r="AB36" s="27"/>
      <c r="AC36" s="27"/>
      <c r="AD36" s="27"/>
      <c r="AE36" s="27"/>
      <c r="AF36" s="27"/>
      <c r="AG36" s="27"/>
    </row>
    <row r="37">
      <c r="A37" s="26" t="str">
        <f>Actuals!B36</f>
        <v>Seth A</v>
      </c>
      <c r="B37" s="30">
        <f>if( Actuals!$A36=1,0,(IF(WeeklyRankPoints!B36 &gt; 10,0,(IF(WeeklyRankPoints!B36 = 0,0,VLOOKUP(WeeklyRankPoints!B36,$AA$5:$AB$14,2))*B$3)) + IF(Actuals!C36  = "",0,10)))</f>
        <v>0</v>
      </c>
      <c r="C37" s="30">
        <f>if( Actuals!$A36=1,0,(IF(WeeklyRankPoints!C36 &gt; 10,0,(IF(WeeklyRankPoints!C36 = 0,0,VLOOKUP(WeeklyRankPoints!C36,$AA$5:$AB$14,2))*C$3)) + IF(Actuals!D36  = "",0,10)))</f>
        <v>0</v>
      </c>
      <c r="D37" s="30">
        <f>if( Actuals!$A36=1,0,(IF(WeeklyRankPoints!D36 &gt; 10,0,(IF(WeeklyRankPoints!D36 = 0,0,VLOOKUP(WeeklyRankPoints!D36,$AA$5:$AB$14,2))*D$3)) + IF(Actuals!E36  = "",0,10)))</f>
        <v>0</v>
      </c>
      <c r="E37" s="30">
        <f>if( Actuals!$A36=1,0,(IF(WeeklyRankPoints!E36 &gt; 10,0,(IF(WeeklyRankPoints!E36 = 0,0,VLOOKUP(WeeklyRankPoints!E36,$AA$5:$AB$14,2))*E$3)) + IF(Actuals!F36  = "",0,10)))</f>
        <v>0</v>
      </c>
      <c r="F37" s="30">
        <f>if( Actuals!$A36=1,0,(IF(WeeklyRankPoints!F36 &gt; 10,0,(IF(WeeklyRankPoints!F36 = 0,0,VLOOKUP(WeeklyRankPoints!F36,$AA$5:$AB$14,2))*F$3)) + IF(Actuals!G36  = "",0,10)))</f>
        <v>0</v>
      </c>
      <c r="G37" s="30">
        <f>if( Actuals!$A36=1,0,(IF(WeeklyRankPoints!G36 &gt; 10,0,(IF(WeeklyRankPoints!G36 = 0,0,VLOOKUP(WeeklyRankPoints!G36,$AA$5:$AB$14,2))*G$3)) + IF(Actuals!H36  = "",0,10)))</f>
        <v>0</v>
      </c>
      <c r="H37" s="30">
        <f>if( Actuals!$A36=1,0,(IF(WeeklyRankPoints!H36 &gt; 10,0,(IF(WeeklyRankPoints!H36 = 0,0,VLOOKUP(WeeklyRankPoints!H36,$AA$5:$AB$14,2))*H$3)) + IF(Actuals!I36  = "",0,10)))</f>
        <v>0</v>
      </c>
      <c r="I37" s="30">
        <f>if( Actuals!$A36=1,0,(IF(WeeklyRankPoints!I36 &gt; 10,0,(IF(WeeklyRankPoints!I36 = 0,0,VLOOKUP(WeeklyRankPoints!I36,$AA$5:$AB$14,2))*I$3)) + IF(Actuals!J36  = "",0,10)))</f>
        <v>0</v>
      </c>
      <c r="J37" s="30">
        <f>if( Actuals!$A36=1,0,(IF(WeeklyRankPoints!J36 &gt; 10,0,(IF(WeeklyRankPoints!J36 = 0,0,VLOOKUP(WeeklyRankPoints!J36,$AA$5:$AB$14,2))*J$3)) + IF(Actuals!K36  = "",0,10)))</f>
        <v>0</v>
      </c>
      <c r="K37" s="30">
        <f>if( Actuals!$A36=1,0,(IF(WeeklyRankPoints!K36 &gt; 10,0,(IF(WeeklyRankPoints!K36 = 0,0,VLOOKUP(WeeklyRankPoints!K36,$AA$5:$AB$14,2))*K$3)) + IF(Actuals!L36  = "",0,10)))</f>
        <v>0</v>
      </c>
      <c r="L37" s="30">
        <f>if( Actuals!$A36=1,0,(IF(WeeklyRankPoints!L36 &gt; 10,0,(IF(WeeklyRankPoints!L36 = 0,0,VLOOKUP(WeeklyRankPoints!L36,$AA$5:$AB$14,2))*L$3)) + IF(Actuals!M36  = "",0,10)))</f>
        <v>0</v>
      </c>
      <c r="M37" s="30">
        <f>if( Actuals!$A36=1,0,(IF(WeeklyRankPoints!M36 &gt; 10,0,(IF(WeeklyRankPoints!M36 = 0,0,VLOOKUP(WeeklyRankPoints!M36,$AA$5:$AB$14,2))*M$3)) + IF(Actuals!N36  = "",0,10)))</f>
        <v>0</v>
      </c>
      <c r="N37" s="30">
        <f>if( Actuals!$A36=1,0,(IF(WeeklyRankPoints!N36 &gt; 10,0,(IF(WeeklyRankPoints!N36 = 0,0,VLOOKUP(WeeklyRankPoints!N36,$AA$5:$AB$14,2))*N$3)) + IF(Actuals!O36  = "",0,10)))</f>
        <v>0</v>
      </c>
      <c r="O37" s="30">
        <f>if( Actuals!$A36=1,0,(IF(WeeklyRankPoints!O36 &gt; 10,0,(IF(WeeklyRankPoints!O36 = 0,0,VLOOKUP(WeeklyRankPoints!O36,$AA$5:$AB$14,2))*O$3)) + IF(Actuals!P36  = "",0,10)))</f>
        <v>0</v>
      </c>
      <c r="P37" s="30">
        <f>if( Actuals!$A36=1,0,(IF(WeeklyRankPoints!P36 &gt; 10,0,(IF(WeeklyRankPoints!P36 = 0,0,VLOOKUP(WeeklyRankPoints!P36,$AA$5:$AB$14,2))*P$3)) + IF(Actuals!Q36  = "",0,10)))</f>
        <v>0</v>
      </c>
      <c r="Q37" s="30">
        <f>if( Actuals!$A36=1,0,(IF(WeeklyRankPoints!Q36 &gt; 10,0,(IF(WeeklyRankPoints!Q36 = 0,0,VLOOKUP(WeeklyRankPoints!Q36,$AA$5:$AB$14,2))*Q$3)) + IF(Actuals!R36  = "",0,10)))</f>
        <v>0</v>
      </c>
      <c r="R37" s="32">
        <f t="shared" si="3"/>
        <v>0</v>
      </c>
      <c r="S37" s="33">
        <f t="shared" si="4"/>
        <v>17</v>
      </c>
      <c r="T37" s="30">
        <f>COUNT(Actuals!C36:R36)</f>
        <v>0</v>
      </c>
      <c r="U37" s="32">
        <f t="shared" si="5"/>
        <v>0</v>
      </c>
      <c r="V37" s="20">
        <f>WeeklyRankMoney!R36</f>
        <v>0</v>
      </c>
      <c r="W37" s="20">
        <f>WeeklyRankMoney!S36</f>
        <v>0</v>
      </c>
      <c r="X37" s="20">
        <f>WeeklyRankMoney!T36</f>
        <v>0</v>
      </c>
      <c r="Y37" s="34">
        <f>Strokes!Q36</f>
        <v>-3.4</v>
      </c>
      <c r="Z37" s="27"/>
      <c r="AA37" s="27"/>
      <c r="AB37" s="27"/>
      <c r="AC37" s="27"/>
      <c r="AD37" s="27"/>
      <c r="AE37" s="27"/>
      <c r="AF37" s="27"/>
      <c r="AG37" s="27"/>
    </row>
    <row r="38">
      <c r="A38" s="26" t="str">
        <f>Actuals!B37</f>
        <v>Simon R</v>
      </c>
      <c r="B38" s="30">
        <f>if( Actuals!$A37=1,0,(IF(WeeklyRankPoints!B37 &gt; 10,0,(IF(WeeklyRankPoints!B37 = 0,0,VLOOKUP(WeeklyRankPoints!B37,$AA$5:$AB$14,2))*B$3)) + IF(Actuals!C37  = "",0,10)))</f>
        <v>30</v>
      </c>
      <c r="C38" s="30">
        <f>if( Actuals!$A37=1,0,(IF(WeeklyRankPoints!C37 &gt; 10,0,(IF(WeeklyRankPoints!C37 = 0,0,VLOOKUP(WeeklyRankPoints!C37,$AA$5:$AB$14,2))*C$3)) + IF(Actuals!D37  = "",0,10)))</f>
        <v>0</v>
      </c>
      <c r="D38" s="30">
        <f>if( Actuals!$A37=1,0,(IF(WeeklyRankPoints!D37 &gt; 10,0,(IF(WeeklyRankPoints!D37 = 0,0,VLOOKUP(WeeklyRankPoints!D37,$AA$5:$AB$14,2))*D$3)) + IF(Actuals!E37  = "",0,10)))</f>
        <v>0</v>
      </c>
      <c r="E38" s="30">
        <f>if( Actuals!$A37=1,0,(IF(WeeklyRankPoints!E37 &gt; 10,0,(IF(WeeklyRankPoints!E37 = 0,0,VLOOKUP(WeeklyRankPoints!E37,$AA$5:$AB$14,2))*E$3)) + IF(Actuals!F37  = "",0,10)))</f>
        <v>0</v>
      </c>
      <c r="F38" s="30">
        <f>if( Actuals!$A37=1,0,(IF(WeeklyRankPoints!F37 &gt; 10,0,(IF(WeeklyRankPoints!F37 = 0,0,VLOOKUP(WeeklyRankPoints!F37,$AA$5:$AB$14,2))*F$3)) + IF(Actuals!G37  = "",0,10)))</f>
        <v>0</v>
      </c>
      <c r="G38" s="30">
        <f>if( Actuals!$A37=1,0,(IF(WeeklyRankPoints!G37 &gt; 10,0,(IF(WeeklyRankPoints!G37 = 0,0,VLOOKUP(WeeklyRankPoints!G37,$AA$5:$AB$14,2))*G$3)) + IF(Actuals!H37  = "",0,10)))</f>
        <v>0</v>
      </c>
      <c r="H38" s="30">
        <f>if( Actuals!$A37=1,0,(IF(WeeklyRankPoints!H37 &gt; 10,0,(IF(WeeklyRankPoints!H37 = 0,0,VLOOKUP(WeeklyRankPoints!H37,$AA$5:$AB$14,2))*H$3)) + IF(Actuals!I37  = "",0,10)))</f>
        <v>0</v>
      </c>
      <c r="I38" s="30">
        <f>if( Actuals!$A37=1,0,(IF(WeeklyRankPoints!I37 &gt; 10,0,(IF(WeeklyRankPoints!I37 = 0,0,VLOOKUP(WeeklyRankPoints!I37,$AA$5:$AB$14,2))*I$3)) + IF(Actuals!J37  = "",0,10)))</f>
        <v>0</v>
      </c>
      <c r="J38" s="30">
        <f>if( Actuals!$A37=1,0,(IF(WeeklyRankPoints!J37 &gt; 10,0,(IF(WeeklyRankPoints!J37 = 0,0,VLOOKUP(WeeklyRankPoints!J37,$AA$5:$AB$14,2))*J$3)) + IF(Actuals!K37  = "",0,10)))</f>
        <v>0</v>
      </c>
      <c r="K38" s="30">
        <f>if( Actuals!$A37=1,0,(IF(WeeklyRankPoints!K37 &gt; 10,0,(IF(WeeklyRankPoints!K37 = 0,0,VLOOKUP(WeeklyRankPoints!K37,$AA$5:$AB$14,2))*K$3)) + IF(Actuals!L37  = "",0,10)))</f>
        <v>0</v>
      </c>
      <c r="L38" s="30">
        <f>if( Actuals!$A37=1,0,(IF(WeeklyRankPoints!L37 &gt; 10,0,(IF(WeeklyRankPoints!L37 = 0,0,VLOOKUP(WeeklyRankPoints!L37,$AA$5:$AB$14,2))*L$3)) + IF(Actuals!M37  = "",0,10)))</f>
        <v>0</v>
      </c>
      <c r="M38" s="30">
        <f>if( Actuals!$A37=1,0,(IF(WeeklyRankPoints!M37 &gt; 10,0,(IF(WeeklyRankPoints!M37 = 0,0,VLOOKUP(WeeklyRankPoints!M37,$AA$5:$AB$14,2))*M$3)) + IF(Actuals!N37  = "",0,10)))</f>
        <v>0</v>
      </c>
      <c r="N38" s="30">
        <f>if( Actuals!$A37=1,0,(IF(WeeklyRankPoints!N37 &gt; 10,0,(IF(WeeklyRankPoints!N37 = 0,0,VLOOKUP(WeeklyRankPoints!N37,$AA$5:$AB$14,2))*N$3)) + IF(Actuals!O37  = "",0,10)))</f>
        <v>0</v>
      </c>
      <c r="O38" s="30">
        <f>if( Actuals!$A37=1,0,(IF(WeeklyRankPoints!O37 &gt; 10,0,(IF(WeeklyRankPoints!O37 = 0,0,VLOOKUP(WeeklyRankPoints!O37,$AA$5:$AB$14,2))*O$3)) + IF(Actuals!P37  = "",0,10)))</f>
        <v>0</v>
      </c>
      <c r="P38" s="30">
        <f>if( Actuals!$A37=1,0,(IF(WeeklyRankPoints!P37 &gt; 10,0,(IF(WeeklyRankPoints!P37 = 0,0,VLOOKUP(WeeklyRankPoints!P37,$AA$5:$AB$14,2))*P$3)) + IF(Actuals!Q37  = "",0,10)))</f>
        <v>0</v>
      </c>
      <c r="Q38" s="30">
        <f>if( Actuals!$A37=1,0,(IF(WeeklyRankPoints!Q37 &gt; 10,0,(IF(WeeklyRankPoints!Q37 = 0,0,VLOOKUP(WeeklyRankPoints!Q37,$AA$5:$AB$14,2))*Q$3)) + IF(Actuals!R37  = "",0,10)))</f>
        <v>0</v>
      </c>
      <c r="R38" s="32">
        <f t="shared" si="3"/>
        <v>30</v>
      </c>
      <c r="S38" s="33">
        <f t="shared" si="4"/>
        <v>15</v>
      </c>
      <c r="T38" s="30">
        <f>COUNT(Actuals!C37:R37)</f>
        <v>1</v>
      </c>
      <c r="U38" s="32">
        <f t="shared" si="5"/>
        <v>30</v>
      </c>
      <c r="V38" s="20">
        <f>WeeklyRankMoney!R37</f>
        <v>0</v>
      </c>
      <c r="W38" s="20">
        <f>WeeklyRankMoney!S37</f>
        <v>0</v>
      </c>
      <c r="X38" s="20">
        <f>WeeklyRankMoney!T37</f>
        <v>0</v>
      </c>
      <c r="Y38" s="34">
        <f>Strokes!Q37</f>
        <v>0.7</v>
      </c>
      <c r="Z38" s="27"/>
      <c r="AA38" s="27"/>
      <c r="AB38" s="27"/>
      <c r="AC38" s="27"/>
      <c r="AD38" s="27"/>
      <c r="AE38" s="27"/>
      <c r="AF38" s="27"/>
      <c r="AG38" s="27"/>
    </row>
    <row r="39">
      <c r="A39" s="26" t="str">
        <f>Actuals!B38</f>
        <v>Steve S</v>
      </c>
      <c r="B39" s="30">
        <f>if( Actuals!$A38=1,0,(IF(WeeklyRankPoints!B38 &gt; 10,0,(IF(WeeklyRankPoints!B38 = 0,0,VLOOKUP(WeeklyRankPoints!B38,$AA$5:$AB$14,2))*B$3)) + IF(Actuals!C38  = "",0,10)))</f>
        <v>0</v>
      </c>
      <c r="C39" s="30">
        <f>if( Actuals!$A38=1,0,(IF(WeeklyRankPoints!C38 &gt; 10,0,(IF(WeeklyRankPoints!C38 = 0,0,VLOOKUP(WeeklyRankPoints!C38,$AA$5:$AB$14,2))*C$3)) + IF(Actuals!D38  = "",0,10)))</f>
        <v>0</v>
      </c>
      <c r="D39" s="30">
        <f>if( Actuals!$A38=1,0,(IF(WeeklyRankPoints!D38 &gt; 10,0,(IF(WeeklyRankPoints!D38 = 0,0,VLOOKUP(WeeklyRankPoints!D38,$AA$5:$AB$14,2))*D$3)) + IF(Actuals!E38  = "",0,10)))</f>
        <v>0</v>
      </c>
      <c r="E39" s="30">
        <f>if( Actuals!$A38=1,0,(IF(WeeklyRankPoints!E38 &gt; 10,0,(IF(WeeklyRankPoints!E38 = 0,0,VLOOKUP(WeeklyRankPoints!E38,$AA$5:$AB$14,2))*E$3)) + IF(Actuals!F38  = "",0,10)))</f>
        <v>0</v>
      </c>
      <c r="F39" s="30">
        <f>if( Actuals!$A38=1,0,(IF(WeeklyRankPoints!F38 &gt; 10,0,(IF(WeeklyRankPoints!F38 = 0,0,VLOOKUP(WeeklyRankPoints!F38,$AA$5:$AB$14,2))*F$3)) + IF(Actuals!G38  = "",0,10)))</f>
        <v>0</v>
      </c>
      <c r="G39" s="30">
        <f>if( Actuals!$A38=1,0,(IF(WeeklyRankPoints!G38 &gt; 10,0,(IF(WeeklyRankPoints!G38 = 0,0,VLOOKUP(WeeklyRankPoints!G38,$AA$5:$AB$14,2))*G$3)) + IF(Actuals!H38  = "",0,10)))</f>
        <v>0</v>
      </c>
      <c r="H39" s="30">
        <f>if( Actuals!$A38=1,0,(IF(WeeklyRankPoints!H38 &gt; 10,0,(IF(WeeklyRankPoints!H38 = 0,0,VLOOKUP(WeeklyRankPoints!H38,$AA$5:$AB$14,2))*H$3)) + IF(Actuals!I38  = "",0,10)))</f>
        <v>0</v>
      </c>
      <c r="I39" s="30">
        <f>if( Actuals!$A38=1,0,(IF(WeeklyRankPoints!I38 &gt; 10,0,(IF(WeeklyRankPoints!I38 = 0,0,VLOOKUP(WeeklyRankPoints!I38,$AA$5:$AB$14,2))*I$3)) + IF(Actuals!J38  = "",0,10)))</f>
        <v>0</v>
      </c>
      <c r="J39" s="30">
        <f>if( Actuals!$A38=1,0,(IF(WeeklyRankPoints!J38 &gt; 10,0,(IF(WeeklyRankPoints!J38 = 0,0,VLOOKUP(WeeklyRankPoints!J38,$AA$5:$AB$14,2))*J$3)) + IF(Actuals!K38  = "",0,10)))</f>
        <v>0</v>
      </c>
      <c r="K39" s="30">
        <f>if( Actuals!$A38=1,0,(IF(WeeklyRankPoints!K38 &gt; 10,0,(IF(WeeklyRankPoints!K38 = 0,0,VLOOKUP(WeeklyRankPoints!K38,$AA$5:$AB$14,2))*K$3)) + IF(Actuals!L38  = "",0,10)))</f>
        <v>0</v>
      </c>
      <c r="L39" s="30">
        <f>if( Actuals!$A38=1,0,(IF(WeeklyRankPoints!L38 &gt; 10,0,(IF(WeeklyRankPoints!L38 = 0,0,VLOOKUP(WeeklyRankPoints!L38,$AA$5:$AB$14,2))*L$3)) + IF(Actuals!M38  = "",0,10)))</f>
        <v>0</v>
      </c>
      <c r="M39" s="30">
        <f>if( Actuals!$A38=1,0,(IF(WeeklyRankPoints!M38 &gt; 10,0,(IF(WeeklyRankPoints!M38 = 0,0,VLOOKUP(WeeklyRankPoints!M38,$AA$5:$AB$14,2))*M$3)) + IF(Actuals!N38  = "",0,10)))</f>
        <v>0</v>
      </c>
      <c r="N39" s="30">
        <f>if( Actuals!$A38=1,0,(IF(WeeklyRankPoints!N38 &gt; 10,0,(IF(WeeklyRankPoints!N38 = 0,0,VLOOKUP(WeeklyRankPoints!N38,$AA$5:$AB$14,2))*N$3)) + IF(Actuals!O38  = "",0,10)))</f>
        <v>0</v>
      </c>
      <c r="O39" s="30">
        <f>if( Actuals!$A38=1,0,(IF(WeeklyRankPoints!O38 &gt; 10,0,(IF(WeeklyRankPoints!O38 = 0,0,VLOOKUP(WeeklyRankPoints!O38,$AA$5:$AB$14,2))*O$3)) + IF(Actuals!P38  = "",0,10)))</f>
        <v>0</v>
      </c>
      <c r="P39" s="30">
        <f>if( Actuals!$A38=1,0,(IF(WeeklyRankPoints!P38 &gt; 10,0,(IF(WeeklyRankPoints!P38 = 0,0,VLOOKUP(WeeklyRankPoints!P38,$AA$5:$AB$14,2))*P$3)) + IF(Actuals!Q38  = "",0,10)))</f>
        <v>0</v>
      </c>
      <c r="Q39" s="30">
        <f>if( Actuals!$A38=1,0,(IF(WeeklyRankPoints!Q38 &gt; 10,0,(IF(WeeklyRankPoints!Q38 = 0,0,VLOOKUP(WeeklyRankPoints!Q38,$AA$5:$AB$14,2))*Q$3)) + IF(Actuals!R38  = "",0,10)))</f>
        <v>0</v>
      </c>
      <c r="R39" s="32">
        <f t="shared" si="3"/>
        <v>0</v>
      </c>
      <c r="S39" s="33">
        <f t="shared" si="4"/>
        <v>17</v>
      </c>
      <c r="T39" s="30">
        <f>COUNT(Actuals!C38:R38)</f>
        <v>0</v>
      </c>
      <c r="U39" s="32">
        <f t="shared" si="5"/>
        <v>0</v>
      </c>
      <c r="V39" s="20">
        <f>WeeklyRankMoney!R38</f>
        <v>0</v>
      </c>
      <c r="W39" s="20">
        <f>WeeklyRankMoney!S38</f>
        <v>0</v>
      </c>
      <c r="X39" s="20">
        <f>WeeklyRankMoney!T38</f>
        <v>0</v>
      </c>
      <c r="Y39" s="34">
        <f>Strokes!Q38</f>
        <v>-6.8</v>
      </c>
      <c r="Z39" s="27"/>
      <c r="AA39" s="27"/>
      <c r="AB39" s="27"/>
      <c r="AC39" s="27"/>
      <c r="AD39" s="27"/>
      <c r="AE39" s="27"/>
      <c r="AF39" s="27"/>
      <c r="AG39" s="27"/>
    </row>
    <row r="40">
      <c r="A40" s="26" t="str">
        <f>Actuals!B39</f>
        <v>Tanner Brown</v>
      </c>
      <c r="B40" s="30">
        <f>if( Actuals!$A39=1,0,(IF(WeeklyRankPoints!B39 &gt; 10,0,(IF(WeeklyRankPoints!B39 = 0,0,VLOOKUP(WeeklyRankPoints!B39,$AA$5:$AB$14,2))*B$3)) + IF(Actuals!C39  = "",0,10)))</f>
        <v>0</v>
      </c>
      <c r="C40" s="30">
        <f>if( Actuals!$A39=1,0,(IF(WeeklyRankPoints!C39 &gt; 10,0,(IF(WeeklyRankPoints!C39 = 0,0,VLOOKUP(WeeklyRankPoints!C39,$AA$5:$AB$14,2))*C$3)) + IF(Actuals!D39  = "",0,10)))</f>
        <v>100</v>
      </c>
      <c r="D40" s="30">
        <f>if( Actuals!$A39=1,0,(IF(WeeklyRankPoints!D39 &gt; 10,0,(IF(WeeklyRankPoints!D39 = 0,0,VLOOKUP(WeeklyRankPoints!D39,$AA$5:$AB$14,2))*D$3)) + IF(Actuals!E39  = "",0,10)))</f>
        <v>0</v>
      </c>
      <c r="E40" s="30">
        <f>if( Actuals!$A39=1,0,(IF(WeeklyRankPoints!E39 &gt; 10,0,(IF(WeeklyRankPoints!E39 = 0,0,VLOOKUP(WeeklyRankPoints!E39,$AA$5:$AB$14,2))*E$3)) + IF(Actuals!F39  = "",0,10)))</f>
        <v>0</v>
      </c>
      <c r="F40" s="30">
        <f>if( Actuals!$A39=1,0,(IF(WeeklyRankPoints!F39 &gt; 10,0,(IF(WeeklyRankPoints!F39 = 0,0,VLOOKUP(WeeklyRankPoints!F39,$AA$5:$AB$14,2))*F$3)) + IF(Actuals!G39  = "",0,10)))</f>
        <v>0</v>
      </c>
      <c r="G40" s="30">
        <f>if( Actuals!$A39=1,0,(IF(WeeklyRankPoints!G39 &gt; 10,0,(IF(WeeklyRankPoints!G39 = 0,0,VLOOKUP(WeeklyRankPoints!G39,$AA$5:$AB$14,2))*G$3)) + IF(Actuals!H39  = "",0,10)))</f>
        <v>0</v>
      </c>
      <c r="H40" s="30">
        <f>if( Actuals!$A39=1,0,(IF(WeeklyRankPoints!H39 &gt; 10,0,(IF(WeeklyRankPoints!H39 = 0,0,VLOOKUP(WeeklyRankPoints!H39,$AA$5:$AB$14,2))*H$3)) + IF(Actuals!I39  = "",0,10)))</f>
        <v>0</v>
      </c>
      <c r="I40" s="30">
        <f>if( Actuals!$A39=1,0,(IF(WeeklyRankPoints!I39 &gt; 10,0,(IF(WeeklyRankPoints!I39 = 0,0,VLOOKUP(WeeklyRankPoints!I39,$AA$5:$AB$14,2))*I$3)) + IF(Actuals!J39  = "",0,10)))</f>
        <v>0</v>
      </c>
      <c r="J40" s="30">
        <f>if( Actuals!$A39=1,0,(IF(WeeklyRankPoints!J39 &gt; 10,0,(IF(WeeklyRankPoints!J39 = 0,0,VLOOKUP(WeeklyRankPoints!J39,$AA$5:$AB$14,2))*J$3)) + IF(Actuals!K39  = "",0,10)))</f>
        <v>0</v>
      </c>
      <c r="K40" s="30">
        <f>if( Actuals!$A39=1,0,(IF(WeeklyRankPoints!K39 &gt; 10,0,(IF(WeeklyRankPoints!K39 = 0,0,VLOOKUP(WeeklyRankPoints!K39,$AA$5:$AB$14,2))*K$3)) + IF(Actuals!L39  = "",0,10)))</f>
        <v>0</v>
      </c>
      <c r="L40" s="30">
        <f>if( Actuals!$A39=1,0,(IF(WeeklyRankPoints!L39 &gt; 10,0,(IF(WeeklyRankPoints!L39 = 0,0,VLOOKUP(WeeklyRankPoints!L39,$AA$5:$AB$14,2))*L$3)) + IF(Actuals!M39  = "",0,10)))</f>
        <v>0</v>
      </c>
      <c r="M40" s="30">
        <f>if( Actuals!$A39=1,0,(IF(WeeklyRankPoints!M39 &gt; 10,0,(IF(WeeklyRankPoints!M39 = 0,0,VLOOKUP(WeeklyRankPoints!M39,$AA$5:$AB$14,2))*M$3)) + IF(Actuals!N39  = "",0,10)))</f>
        <v>0</v>
      </c>
      <c r="N40" s="30">
        <f>if( Actuals!$A39=1,0,(IF(WeeklyRankPoints!N39 &gt; 10,0,(IF(WeeklyRankPoints!N39 = 0,0,VLOOKUP(WeeklyRankPoints!N39,$AA$5:$AB$14,2))*N$3)) + IF(Actuals!O39  = "",0,10)))</f>
        <v>0</v>
      </c>
      <c r="O40" s="30">
        <f>if( Actuals!$A39=1,0,(IF(WeeklyRankPoints!O39 &gt; 10,0,(IF(WeeklyRankPoints!O39 = 0,0,VLOOKUP(WeeklyRankPoints!O39,$AA$5:$AB$14,2))*O$3)) + IF(Actuals!P39  = "",0,10)))</f>
        <v>0</v>
      </c>
      <c r="P40" s="30">
        <f>if( Actuals!$A39=1,0,(IF(WeeklyRankPoints!P39 &gt; 10,0,(IF(WeeklyRankPoints!P39 = 0,0,VLOOKUP(WeeklyRankPoints!P39,$AA$5:$AB$14,2))*P$3)) + IF(Actuals!Q39  = "",0,10)))</f>
        <v>0</v>
      </c>
      <c r="Q40" s="30">
        <f>if( Actuals!$A39=1,0,(IF(WeeklyRankPoints!Q39 &gt; 10,0,(IF(WeeklyRankPoints!Q39 = 0,0,VLOOKUP(WeeklyRankPoints!Q39,$AA$5:$AB$14,2))*Q$3)) + IF(Actuals!R39  = "",0,10)))</f>
        <v>0</v>
      </c>
      <c r="R40" s="32">
        <f t="shared" si="3"/>
        <v>100</v>
      </c>
      <c r="S40" s="33">
        <f t="shared" si="4"/>
        <v>8</v>
      </c>
      <c r="T40" s="30">
        <f>COUNT(Actuals!C39:R39)</f>
        <v>1</v>
      </c>
      <c r="U40" s="32">
        <f t="shared" si="5"/>
        <v>100</v>
      </c>
      <c r="V40" s="20">
        <f>WeeklyRankMoney!R39</f>
        <v>0</v>
      </c>
      <c r="W40" s="20">
        <f>WeeklyRankMoney!S39</f>
        <v>1</v>
      </c>
      <c r="X40" s="20">
        <f>WeeklyRankMoney!T39</f>
        <v>1</v>
      </c>
      <c r="Y40" s="34">
        <f>Strokes!Q39</f>
        <v>-15.4</v>
      </c>
      <c r="Z40" s="27"/>
      <c r="AA40" s="27"/>
      <c r="AB40" s="27"/>
      <c r="AC40" s="27"/>
      <c r="AD40" s="27"/>
      <c r="AE40" s="27"/>
      <c r="AF40" s="27"/>
      <c r="AG40" s="27"/>
    </row>
    <row r="41">
      <c r="A41" s="26" t="str">
        <f>Actuals!B40</f>
        <v>Tanner Buechele</v>
      </c>
      <c r="B41" s="30">
        <f>if( Actuals!$A40=1,0,(IF(WeeklyRankPoints!B40 &gt; 10,0,(IF(WeeklyRankPoints!B40 = 0,0,VLOOKUP(WeeklyRankPoints!B40,$AA$5:$AB$14,2))*B$3)) + IF(Actuals!C40  = "",0,10)))</f>
        <v>0</v>
      </c>
      <c r="C41" s="30">
        <f>if( Actuals!$A40=1,0,(IF(WeeklyRankPoints!C40 &gt; 10,0,(IF(WeeklyRankPoints!C40 = 0,0,VLOOKUP(WeeklyRankPoints!C40,$AA$5:$AB$14,2))*C$3)) + IF(Actuals!D40  = "",0,10)))</f>
        <v>0</v>
      </c>
      <c r="D41" s="30">
        <f>if( Actuals!$A40=1,0,(IF(WeeklyRankPoints!D40 &gt; 10,0,(IF(WeeklyRankPoints!D40 = 0,0,VLOOKUP(WeeklyRankPoints!D40,$AA$5:$AB$14,2))*D$3)) + IF(Actuals!E40  = "",0,10)))</f>
        <v>0</v>
      </c>
      <c r="E41" s="30">
        <f>if( Actuals!$A40=1,0,(IF(WeeklyRankPoints!E40 &gt; 10,0,(IF(WeeklyRankPoints!E40 = 0,0,VLOOKUP(WeeklyRankPoints!E40,$AA$5:$AB$14,2))*E$3)) + IF(Actuals!F40  = "",0,10)))</f>
        <v>0</v>
      </c>
      <c r="F41" s="30">
        <f>if( Actuals!$A40=1,0,(IF(WeeklyRankPoints!F40 &gt; 10,0,(IF(WeeklyRankPoints!F40 = 0,0,VLOOKUP(WeeklyRankPoints!F40,$AA$5:$AB$14,2))*F$3)) + IF(Actuals!G40  = "",0,10)))</f>
        <v>0</v>
      </c>
      <c r="G41" s="30">
        <f>if( Actuals!$A40=1,0,(IF(WeeklyRankPoints!G40 &gt; 10,0,(IF(WeeklyRankPoints!G40 = 0,0,VLOOKUP(WeeklyRankPoints!G40,$AA$5:$AB$14,2))*G$3)) + IF(Actuals!H40  = "",0,10)))</f>
        <v>0</v>
      </c>
      <c r="H41" s="30">
        <f>if( Actuals!$A40=1,0,(IF(WeeklyRankPoints!H40 &gt; 10,0,(IF(WeeklyRankPoints!H40 = 0,0,VLOOKUP(WeeklyRankPoints!H40,$AA$5:$AB$14,2))*H$3)) + IF(Actuals!I40  = "",0,10)))</f>
        <v>0</v>
      </c>
      <c r="I41" s="30">
        <f>if( Actuals!$A40=1,0,(IF(WeeklyRankPoints!I40 &gt; 10,0,(IF(WeeklyRankPoints!I40 = 0,0,VLOOKUP(WeeklyRankPoints!I40,$AA$5:$AB$14,2))*I$3)) + IF(Actuals!J40  = "",0,10)))</f>
        <v>0</v>
      </c>
      <c r="J41" s="30">
        <f>if( Actuals!$A40=1,0,(IF(WeeklyRankPoints!J40 &gt; 10,0,(IF(WeeklyRankPoints!J40 = 0,0,VLOOKUP(WeeklyRankPoints!J40,$AA$5:$AB$14,2))*J$3)) + IF(Actuals!K40  = "",0,10)))</f>
        <v>0</v>
      </c>
      <c r="K41" s="30">
        <f>if( Actuals!$A40=1,0,(IF(WeeklyRankPoints!K40 &gt; 10,0,(IF(WeeklyRankPoints!K40 = 0,0,VLOOKUP(WeeklyRankPoints!K40,$AA$5:$AB$14,2))*K$3)) + IF(Actuals!L40  = "",0,10)))</f>
        <v>0</v>
      </c>
      <c r="L41" s="30">
        <f>if( Actuals!$A40=1,0,(IF(WeeklyRankPoints!L40 &gt; 10,0,(IF(WeeklyRankPoints!L40 = 0,0,VLOOKUP(WeeklyRankPoints!L40,$AA$5:$AB$14,2))*L$3)) + IF(Actuals!M40  = "",0,10)))</f>
        <v>0</v>
      </c>
      <c r="M41" s="30">
        <f>if( Actuals!$A40=1,0,(IF(WeeklyRankPoints!M40 &gt; 10,0,(IF(WeeklyRankPoints!M40 = 0,0,VLOOKUP(WeeklyRankPoints!M40,$AA$5:$AB$14,2))*M$3)) + IF(Actuals!N40  = "",0,10)))</f>
        <v>0</v>
      </c>
      <c r="N41" s="30">
        <f>if( Actuals!$A40=1,0,(IF(WeeklyRankPoints!N40 &gt; 10,0,(IF(WeeklyRankPoints!N40 = 0,0,VLOOKUP(WeeklyRankPoints!N40,$AA$5:$AB$14,2))*N$3)) + IF(Actuals!O40  = "",0,10)))</f>
        <v>0</v>
      </c>
      <c r="O41" s="30">
        <f>if( Actuals!$A40=1,0,(IF(WeeklyRankPoints!O40 &gt; 10,0,(IF(WeeklyRankPoints!O40 = 0,0,VLOOKUP(WeeklyRankPoints!O40,$AA$5:$AB$14,2))*O$3)) + IF(Actuals!P40  = "",0,10)))</f>
        <v>0</v>
      </c>
      <c r="P41" s="30">
        <f>if( Actuals!$A40=1,0,(IF(WeeklyRankPoints!P40 &gt; 10,0,(IF(WeeklyRankPoints!P40 = 0,0,VLOOKUP(WeeklyRankPoints!P40,$AA$5:$AB$14,2))*P$3)) + IF(Actuals!Q40  = "",0,10)))</f>
        <v>0</v>
      </c>
      <c r="Q41" s="30">
        <f>if( Actuals!$A40=1,0,(IF(WeeklyRankPoints!Q40 &gt; 10,0,(IF(WeeklyRankPoints!Q40 = 0,0,VLOOKUP(WeeklyRankPoints!Q40,$AA$5:$AB$14,2))*Q$3)) + IF(Actuals!R40  = "",0,10)))</f>
        <v>0</v>
      </c>
      <c r="R41" s="32">
        <f t="shared" si="3"/>
        <v>0</v>
      </c>
      <c r="S41" s="33">
        <f t="shared" si="4"/>
        <v>17</v>
      </c>
      <c r="T41" s="30">
        <f>COUNT(Actuals!C40:R40)</f>
        <v>0</v>
      </c>
      <c r="U41" s="32">
        <f t="shared" si="5"/>
        <v>0</v>
      </c>
      <c r="V41" s="20">
        <f>WeeklyRankMoney!R40</f>
        <v>0</v>
      </c>
      <c r="W41" s="20">
        <f>WeeklyRankMoney!S40</f>
        <v>0</v>
      </c>
      <c r="X41" s="20">
        <f>WeeklyRankMoney!T40</f>
        <v>0</v>
      </c>
      <c r="Y41" s="34">
        <f>Strokes!Q40</f>
        <v>-6</v>
      </c>
      <c r="Z41" s="27"/>
      <c r="AA41" s="27"/>
      <c r="AB41" s="27"/>
      <c r="AC41" s="27"/>
      <c r="AD41" s="27"/>
      <c r="AE41" s="27"/>
      <c r="AF41" s="27"/>
      <c r="AG41" s="27"/>
    </row>
    <row r="42">
      <c r="A42" s="26" t="str">
        <f>Actuals!B41</f>
        <v>Thomas Y</v>
      </c>
      <c r="B42" s="30">
        <f>if( Actuals!$A41=1,0,(IF(WeeklyRankPoints!B41 &gt; 10,0,(IF(WeeklyRankPoints!B41 = 0,0,VLOOKUP(WeeklyRankPoints!B41,$AA$5:$AB$14,2))*B$3)) + IF(Actuals!C41  = "",0,10)))</f>
        <v>0</v>
      </c>
      <c r="C42" s="30">
        <f>if( Actuals!$A41=1,0,(IF(WeeklyRankPoints!C41 &gt; 10,0,(IF(WeeklyRankPoints!C41 = 0,0,VLOOKUP(WeeklyRankPoints!C41,$AA$5:$AB$14,2))*C$3)) + IF(Actuals!D41  = "",0,10)))</f>
        <v>0</v>
      </c>
      <c r="D42" s="30">
        <f>if( Actuals!$A41=1,0,(IF(WeeklyRankPoints!D41 &gt; 10,0,(IF(WeeklyRankPoints!D41 = 0,0,VLOOKUP(WeeklyRankPoints!D41,$AA$5:$AB$14,2))*D$3)) + IF(Actuals!E41  = "",0,10)))</f>
        <v>0</v>
      </c>
      <c r="E42" s="30">
        <f>if( Actuals!$A41=1,0,(IF(WeeklyRankPoints!E41 &gt; 10,0,(IF(WeeklyRankPoints!E41 = 0,0,VLOOKUP(WeeklyRankPoints!E41,$AA$5:$AB$14,2))*E$3)) + IF(Actuals!F41  = "",0,10)))</f>
        <v>0</v>
      </c>
      <c r="F42" s="30">
        <f>if( Actuals!$A41=1,0,(IF(WeeklyRankPoints!F41 &gt; 10,0,(IF(WeeklyRankPoints!F41 = 0,0,VLOOKUP(WeeklyRankPoints!F41,$AA$5:$AB$14,2))*F$3)) + IF(Actuals!G41  = "",0,10)))</f>
        <v>0</v>
      </c>
      <c r="G42" s="30">
        <f>if( Actuals!$A41=1,0,(IF(WeeklyRankPoints!G41 &gt; 10,0,(IF(WeeklyRankPoints!G41 = 0,0,VLOOKUP(WeeklyRankPoints!G41,$AA$5:$AB$14,2))*G$3)) + IF(Actuals!H41  = "",0,10)))</f>
        <v>0</v>
      </c>
      <c r="H42" s="30">
        <f>if( Actuals!$A41=1,0,(IF(WeeklyRankPoints!H41 &gt; 10,0,(IF(WeeklyRankPoints!H41 = 0,0,VLOOKUP(WeeklyRankPoints!H41,$AA$5:$AB$14,2))*H$3)) + IF(Actuals!I41  = "",0,10)))</f>
        <v>0</v>
      </c>
      <c r="I42" s="30">
        <f>if( Actuals!$A41=1,0,(IF(WeeklyRankPoints!I41 &gt; 10,0,(IF(WeeklyRankPoints!I41 = 0,0,VLOOKUP(WeeklyRankPoints!I41,$AA$5:$AB$14,2))*I$3)) + IF(Actuals!J41  = "",0,10)))</f>
        <v>0</v>
      </c>
      <c r="J42" s="30">
        <f>if( Actuals!$A41=1,0,(IF(WeeklyRankPoints!J41 &gt; 10,0,(IF(WeeklyRankPoints!J41 = 0,0,VLOOKUP(WeeklyRankPoints!J41,$AA$5:$AB$14,2))*J$3)) + IF(Actuals!K41  = "",0,10)))</f>
        <v>0</v>
      </c>
      <c r="K42" s="30">
        <f>if( Actuals!$A41=1,0,(IF(WeeklyRankPoints!K41 &gt; 10,0,(IF(WeeklyRankPoints!K41 = 0,0,VLOOKUP(WeeklyRankPoints!K41,$AA$5:$AB$14,2))*K$3)) + IF(Actuals!L41  = "",0,10)))</f>
        <v>0</v>
      </c>
      <c r="L42" s="30">
        <f>if( Actuals!$A41=1,0,(IF(WeeklyRankPoints!L41 &gt; 10,0,(IF(WeeklyRankPoints!L41 = 0,0,VLOOKUP(WeeklyRankPoints!L41,$AA$5:$AB$14,2))*L$3)) + IF(Actuals!M41  = "",0,10)))</f>
        <v>0</v>
      </c>
      <c r="M42" s="30">
        <f>if( Actuals!$A41=1,0,(IF(WeeklyRankPoints!M41 &gt; 10,0,(IF(WeeklyRankPoints!M41 = 0,0,VLOOKUP(WeeklyRankPoints!M41,$AA$5:$AB$14,2))*M$3)) + IF(Actuals!N41  = "",0,10)))</f>
        <v>0</v>
      </c>
      <c r="N42" s="30">
        <f>if( Actuals!$A41=1,0,(IF(WeeklyRankPoints!N41 &gt; 10,0,(IF(WeeklyRankPoints!N41 = 0,0,VLOOKUP(WeeklyRankPoints!N41,$AA$5:$AB$14,2))*N$3)) + IF(Actuals!O41  = "",0,10)))</f>
        <v>0</v>
      </c>
      <c r="O42" s="30">
        <f>if( Actuals!$A41=1,0,(IF(WeeklyRankPoints!O41 &gt; 10,0,(IF(WeeklyRankPoints!O41 = 0,0,VLOOKUP(WeeklyRankPoints!O41,$AA$5:$AB$14,2))*O$3)) + IF(Actuals!P41  = "",0,10)))</f>
        <v>0</v>
      </c>
      <c r="P42" s="30">
        <f>if( Actuals!$A41=1,0,(IF(WeeklyRankPoints!P41 &gt; 10,0,(IF(WeeklyRankPoints!P41 = 0,0,VLOOKUP(WeeklyRankPoints!P41,$AA$5:$AB$14,2))*P$3)) + IF(Actuals!Q41  = "",0,10)))</f>
        <v>0</v>
      </c>
      <c r="Q42" s="30">
        <f>if( Actuals!$A41=1,0,(IF(WeeklyRankPoints!Q41 &gt; 10,0,(IF(WeeklyRankPoints!Q41 = 0,0,VLOOKUP(WeeklyRankPoints!Q41,$AA$5:$AB$14,2))*Q$3)) + IF(Actuals!R41  = "",0,10)))</f>
        <v>0</v>
      </c>
      <c r="R42" s="32">
        <f t="shared" si="3"/>
        <v>0</v>
      </c>
      <c r="S42" s="33">
        <f t="shared" si="4"/>
        <v>17</v>
      </c>
      <c r="T42" s="30">
        <f>COUNT(Actuals!C41:R41)</f>
        <v>0</v>
      </c>
      <c r="U42" s="32">
        <f t="shared" si="5"/>
        <v>0</v>
      </c>
      <c r="V42" s="20">
        <f>WeeklyRankMoney!R41</f>
        <v>0</v>
      </c>
      <c r="W42" s="20">
        <f>WeeklyRankMoney!S41</f>
        <v>0</v>
      </c>
      <c r="X42" s="20">
        <f>WeeklyRankMoney!T41</f>
        <v>0</v>
      </c>
      <c r="Y42" s="34">
        <f>Strokes!Q41</f>
        <v>26.8</v>
      </c>
      <c r="Z42" s="27"/>
      <c r="AA42" s="27"/>
      <c r="AB42" s="27"/>
      <c r="AC42" s="27"/>
      <c r="AD42" s="27"/>
      <c r="AE42" s="27"/>
      <c r="AF42" s="27"/>
      <c r="AG42" s="27"/>
    </row>
    <row r="43">
      <c r="A43" s="26" t="str">
        <f>Actuals!B42</f>
        <v>Tom B</v>
      </c>
      <c r="B43" s="30">
        <f>if( Actuals!$A42=1,0,(IF(WeeklyRankPoints!B42 &gt; 10,0,(IF(WeeklyRankPoints!B42 = 0,0,VLOOKUP(WeeklyRankPoints!B42,$AA$5:$AB$14,2))*B$3)) + IF(Actuals!C42  = "",0,10)))</f>
        <v>0</v>
      </c>
      <c r="C43" s="30">
        <f>if( Actuals!$A42=1,0,(IF(WeeklyRankPoints!C42 &gt; 10,0,(IF(WeeklyRankPoints!C42 = 0,0,VLOOKUP(WeeklyRankPoints!C42,$AA$5:$AB$14,2))*C$3)) + IF(Actuals!D42  = "",0,10)))</f>
        <v>0</v>
      </c>
      <c r="D43" s="30">
        <f>if( Actuals!$A42=1,0,(IF(WeeklyRankPoints!D42 &gt; 10,0,(IF(WeeklyRankPoints!D42 = 0,0,VLOOKUP(WeeklyRankPoints!D42,$AA$5:$AB$14,2))*D$3)) + IF(Actuals!E42  = "",0,10)))</f>
        <v>0</v>
      </c>
      <c r="E43" s="30">
        <f>if( Actuals!$A42=1,0,(IF(WeeklyRankPoints!E42 &gt; 10,0,(IF(WeeklyRankPoints!E42 = 0,0,VLOOKUP(WeeklyRankPoints!E42,$AA$5:$AB$14,2))*E$3)) + IF(Actuals!F42  = "",0,10)))</f>
        <v>0</v>
      </c>
      <c r="F43" s="30">
        <f>if( Actuals!$A42=1,0,(IF(WeeklyRankPoints!F42 &gt; 10,0,(IF(WeeklyRankPoints!F42 = 0,0,VLOOKUP(WeeklyRankPoints!F42,$AA$5:$AB$14,2))*F$3)) + IF(Actuals!G42  = "",0,10)))</f>
        <v>0</v>
      </c>
      <c r="G43" s="30">
        <f>if( Actuals!$A42=1,0,(IF(WeeklyRankPoints!G42 &gt; 10,0,(IF(WeeklyRankPoints!G42 = 0,0,VLOOKUP(WeeklyRankPoints!G42,$AA$5:$AB$14,2))*G$3)) + IF(Actuals!H42  = "",0,10)))</f>
        <v>0</v>
      </c>
      <c r="H43" s="30">
        <f>if( Actuals!$A42=1,0,(IF(WeeklyRankPoints!H42 &gt; 10,0,(IF(WeeklyRankPoints!H42 = 0,0,VLOOKUP(WeeklyRankPoints!H42,$AA$5:$AB$14,2))*H$3)) + IF(Actuals!I42  = "",0,10)))</f>
        <v>0</v>
      </c>
      <c r="I43" s="30">
        <f>if( Actuals!$A42=1,0,(IF(WeeklyRankPoints!I42 &gt; 10,0,(IF(WeeklyRankPoints!I42 = 0,0,VLOOKUP(WeeklyRankPoints!I42,$AA$5:$AB$14,2))*I$3)) + IF(Actuals!J42  = "",0,10)))</f>
        <v>0</v>
      </c>
      <c r="J43" s="30">
        <f>if( Actuals!$A42=1,0,(IF(WeeklyRankPoints!J42 &gt; 10,0,(IF(WeeklyRankPoints!J42 = 0,0,VLOOKUP(WeeklyRankPoints!J42,$AA$5:$AB$14,2))*J$3)) + IF(Actuals!K42  = "",0,10)))</f>
        <v>0</v>
      </c>
      <c r="K43" s="30">
        <f>if( Actuals!$A42=1,0,(IF(WeeklyRankPoints!K42 &gt; 10,0,(IF(WeeklyRankPoints!K42 = 0,0,VLOOKUP(WeeklyRankPoints!K42,$AA$5:$AB$14,2))*K$3)) + IF(Actuals!L42  = "",0,10)))</f>
        <v>0</v>
      </c>
      <c r="L43" s="30">
        <f>if( Actuals!$A42=1,0,(IF(WeeklyRankPoints!L42 &gt; 10,0,(IF(WeeklyRankPoints!L42 = 0,0,VLOOKUP(WeeklyRankPoints!L42,$AA$5:$AB$14,2))*L$3)) + IF(Actuals!M42  = "",0,10)))</f>
        <v>0</v>
      </c>
      <c r="M43" s="30">
        <f>if( Actuals!$A42=1,0,(IF(WeeklyRankPoints!M42 &gt; 10,0,(IF(WeeklyRankPoints!M42 = 0,0,VLOOKUP(WeeklyRankPoints!M42,$AA$5:$AB$14,2))*M$3)) + IF(Actuals!N42  = "",0,10)))</f>
        <v>0</v>
      </c>
      <c r="N43" s="30">
        <f>if( Actuals!$A42=1,0,(IF(WeeklyRankPoints!N42 &gt; 10,0,(IF(WeeklyRankPoints!N42 = 0,0,VLOOKUP(WeeklyRankPoints!N42,$AA$5:$AB$14,2))*N$3)) + IF(Actuals!O42  = "",0,10)))</f>
        <v>0</v>
      </c>
      <c r="O43" s="30">
        <f>if( Actuals!$A42=1,0,(IF(WeeklyRankPoints!O42 &gt; 10,0,(IF(WeeklyRankPoints!O42 = 0,0,VLOOKUP(WeeklyRankPoints!O42,$AA$5:$AB$14,2))*O$3)) + IF(Actuals!P42  = "",0,10)))</f>
        <v>0</v>
      </c>
      <c r="P43" s="30">
        <f>if( Actuals!$A42=1,0,(IF(WeeklyRankPoints!P42 &gt; 10,0,(IF(WeeklyRankPoints!P42 = 0,0,VLOOKUP(WeeklyRankPoints!P42,$AA$5:$AB$14,2))*P$3)) + IF(Actuals!Q42  = "",0,10)))</f>
        <v>0</v>
      </c>
      <c r="Q43" s="30">
        <f>if( Actuals!$A42=1,0,(IF(WeeklyRankPoints!Q42 &gt; 10,0,(IF(WeeklyRankPoints!Q42 = 0,0,VLOOKUP(WeeklyRankPoints!Q42,$AA$5:$AB$14,2))*Q$3)) + IF(Actuals!R42  = "",0,10)))</f>
        <v>0</v>
      </c>
      <c r="R43" s="32">
        <f t="shared" si="3"/>
        <v>0</v>
      </c>
      <c r="S43" s="33">
        <f t="shared" si="4"/>
        <v>17</v>
      </c>
      <c r="T43" s="30">
        <f>COUNT(Actuals!C42:R42)</f>
        <v>0</v>
      </c>
      <c r="U43" s="32">
        <f t="shared" si="5"/>
        <v>0</v>
      </c>
      <c r="V43" s="20">
        <f>WeeklyRankMoney!R42</f>
        <v>0</v>
      </c>
      <c r="W43" s="20">
        <f>WeeklyRankMoney!S42</f>
        <v>0</v>
      </c>
      <c r="X43" s="20">
        <f>WeeklyRankMoney!T42</f>
        <v>0</v>
      </c>
      <c r="Y43" s="34">
        <f>Strokes!Q42</f>
        <v>-3.7</v>
      </c>
      <c r="Z43" s="27"/>
      <c r="AA43" s="27"/>
      <c r="AB43" s="27"/>
      <c r="AC43" s="27"/>
      <c r="AD43" s="27"/>
      <c r="AE43" s="27"/>
      <c r="AF43" s="27"/>
      <c r="AG43" s="27"/>
    </row>
    <row r="44">
      <c r="A44" s="26" t="str">
        <f>Actuals!B43</f>
        <v>Tommy</v>
      </c>
      <c r="B44" s="30">
        <f>if( Actuals!$A43=1,0,(IF(WeeklyRankPoints!B43 &gt; 10,0,(IF(WeeklyRankPoints!B43 = 0,0,VLOOKUP(WeeklyRankPoints!B43,$AA$5:$AB$14,2))*B$3)) + IF(Actuals!C43  = "",0,10)))</f>
        <v>0</v>
      </c>
      <c r="C44" s="30">
        <f>if( Actuals!$A43=1,0,(IF(WeeklyRankPoints!C43 &gt; 10,0,(IF(WeeklyRankPoints!C43 = 0,0,VLOOKUP(WeeklyRankPoints!C43,$AA$5:$AB$14,2))*C$3)) + IF(Actuals!D43  = "",0,10)))</f>
        <v>0</v>
      </c>
      <c r="D44" s="30">
        <f>if( Actuals!$A43=1,0,(IF(WeeklyRankPoints!D43 &gt; 10,0,(IF(WeeklyRankPoints!D43 = 0,0,VLOOKUP(WeeklyRankPoints!D43,$AA$5:$AB$14,2))*D$3)) + IF(Actuals!E43  = "",0,10)))</f>
        <v>0</v>
      </c>
      <c r="E44" s="30">
        <f>if( Actuals!$A43=1,0,(IF(WeeklyRankPoints!E43 &gt; 10,0,(IF(WeeklyRankPoints!E43 = 0,0,VLOOKUP(WeeklyRankPoints!E43,$AA$5:$AB$14,2))*E$3)) + IF(Actuals!F43  = "",0,10)))</f>
        <v>0</v>
      </c>
      <c r="F44" s="30">
        <f>if( Actuals!$A43=1,0,(IF(WeeklyRankPoints!F43 &gt; 10,0,(IF(WeeklyRankPoints!F43 = 0,0,VLOOKUP(WeeklyRankPoints!F43,$AA$5:$AB$14,2))*F$3)) + IF(Actuals!G43  = "",0,10)))</f>
        <v>0</v>
      </c>
      <c r="G44" s="30">
        <f>if( Actuals!$A43=1,0,(IF(WeeklyRankPoints!G43 &gt; 10,0,(IF(WeeklyRankPoints!G43 = 0,0,VLOOKUP(WeeklyRankPoints!G43,$AA$5:$AB$14,2))*G$3)) + IF(Actuals!H43  = "",0,10)))</f>
        <v>0</v>
      </c>
      <c r="H44" s="30">
        <f>if( Actuals!$A43=1,0,(IF(WeeklyRankPoints!H43 &gt; 10,0,(IF(WeeklyRankPoints!H43 = 0,0,VLOOKUP(WeeklyRankPoints!H43,$AA$5:$AB$14,2))*H$3)) + IF(Actuals!I43  = "",0,10)))</f>
        <v>0</v>
      </c>
      <c r="I44" s="30">
        <f>if( Actuals!$A43=1,0,(IF(WeeklyRankPoints!I43 &gt; 10,0,(IF(WeeklyRankPoints!I43 = 0,0,VLOOKUP(WeeklyRankPoints!I43,$AA$5:$AB$14,2))*I$3)) + IF(Actuals!J43  = "",0,10)))</f>
        <v>0</v>
      </c>
      <c r="J44" s="30">
        <f>if( Actuals!$A43=1,0,(IF(WeeklyRankPoints!J43 &gt; 10,0,(IF(WeeklyRankPoints!J43 = 0,0,VLOOKUP(WeeklyRankPoints!J43,$AA$5:$AB$14,2))*J$3)) + IF(Actuals!K43  = "",0,10)))</f>
        <v>0</v>
      </c>
      <c r="K44" s="30">
        <f>if( Actuals!$A43=1,0,(IF(WeeklyRankPoints!K43 &gt; 10,0,(IF(WeeklyRankPoints!K43 = 0,0,VLOOKUP(WeeklyRankPoints!K43,$AA$5:$AB$14,2))*K$3)) + IF(Actuals!L43  = "",0,10)))</f>
        <v>0</v>
      </c>
      <c r="L44" s="30">
        <f>if( Actuals!$A43=1,0,(IF(WeeklyRankPoints!L43 &gt; 10,0,(IF(WeeklyRankPoints!L43 = 0,0,VLOOKUP(WeeklyRankPoints!L43,$AA$5:$AB$14,2))*L$3)) + IF(Actuals!M43  = "",0,10)))</f>
        <v>0</v>
      </c>
      <c r="M44" s="30">
        <f>if( Actuals!$A43=1,0,(IF(WeeklyRankPoints!M43 &gt; 10,0,(IF(WeeklyRankPoints!M43 = 0,0,VLOOKUP(WeeklyRankPoints!M43,$AA$5:$AB$14,2))*M$3)) + IF(Actuals!N43  = "",0,10)))</f>
        <v>0</v>
      </c>
      <c r="N44" s="30">
        <f>if( Actuals!$A43=1,0,(IF(WeeklyRankPoints!N43 &gt; 10,0,(IF(WeeklyRankPoints!N43 = 0,0,VLOOKUP(WeeklyRankPoints!N43,$AA$5:$AB$14,2))*N$3)) + IF(Actuals!O43  = "",0,10)))</f>
        <v>0</v>
      </c>
      <c r="O44" s="30">
        <f>if( Actuals!$A43=1,0,(IF(WeeklyRankPoints!O43 &gt; 10,0,(IF(WeeklyRankPoints!O43 = 0,0,VLOOKUP(WeeklyRankPoints!O43,$AA$5:$AB$14,2))*O$3)) + IF(Actuals!P43  = "",0,10)))</f>
        <v>0</v>
      </c>
      <c r="P44" s="30">
        <f>if( Actuals!$A43=1,0,(IF(WeeklyRankPoints!P43 &gt; 10,0,(IF(WeeklyRankPoints!P43 = 0,0,VLOOKUP(WeeklyRankPoints!P43,$AA$5:$AB$14,2))*P$3)) + IF(Actuals!Q43  = "",0,10)))</f>
        <v>0</v>
      </c>
      <c r="Q44" s="30">
        <f>if( Actuals!$A43=1,0,(IF(WeeklyRankPoints!Q43 &gt; 10,0,(IF(WeeklyRankPoints!Q43 = 0,0,VLOOKUP(WeeklyRankPoints!Q43,$AA$5:$AB$14,2))*Q$3)) + IF(Actuals!R43  = "",0,10)))</f>
        <v>0</v>
      </c>
      <c r="R44" s="32">
        <f t="shared" si="3"/>
        <v>0</v>
      </c>
      <c r="S44" s="33">
        <f t="shared" si="4"/>
        <v>17</v>
      </c>
      <c r="T44" s="30">
        <f>COUNT(Actuals!C43:R43)</f>
        <v>0</v>
      </c>
      <c r="U44" s="32">
        <f t="shared" si="5"/>
        <v>0</v>
      </c>
      <c r="V44" s="20">
        <f>WeeklyRankMoney!R43</f>
        <v>0</v>
      </c>
      <c r="W44" s="20">
        <f>WeeklyRankMoney!S43</f>
        <v>0</v>
      </c>
      <c r="X44" s="20">
        <f>WeeklyRankMoney!T43</f>
        <v>0</v>
      </c>
      <c r="Y44" s="34">
        <f>Strokes!Q43</f>
        <v>-6.6</v>
      </c>
      <c r="Z44" s="27"/>
      <c r="AA44" s="27"/>
      <c r="AB44" s="27"/>
      <c r="AC44" s="27"/>
      <c r="AD44" s="27"/>
      <c r="AE44" s="27"/>
      <c r="AF44" s="27"/>
      <c r="AG44" s="27"/>
    </row>
    <row r="45">
      <c r="A45" s="26" t="str">
        <f>Actuals!B44</f>
        <v>Walt S</v>
      </c>
      <c r="B45" s="30">
        <f>if( Actuals!$A44=1,0,(IF(WeeklyRankPoints!B44 &gt; 10,0,(IF(WeeklyRankPoints!B44 = 0,0,VLOOKUP(WeeklyRankPoints!B44,$AA$5:$AB$14,2))*B$3)) + IF(Actuals!C44  = "",0,10)))</f>
        <v>40</v>
      </c>
      <c r="C45" s="30">
        <f>if( Actuals!$A44=1,0,(IF(WeeklyRankPoints!C44 &gt; 10,0,(IF(WeeklyRankPoints!C44 = 0,0,VLOOKUP(WeeklyRankPoints!C44,$AA$5:$AB$14,2))*C$3)) + IF(Actuals!D44  = "",0,10)))</f>
        <v>0</v>
      </c>
      <c r="D45" s="30">
        <f>if( Actuals!$A44=1,0,(IF(WeeklyRankPoints!D44 &gt; 10,0,(IF(WeeklyRankPoints!D44 = 0,0,VLOOKUP(WeeklyRankPoints!D44,$AA$5:$AB$14,2))*D$3)) + IF(Actuals!E44  = "",0,10)))</f>
        <v>100</v>
      </c>
      <c r="E45" s="30">
        <f>if( Actuals!$A44=1,0,(IF(WeeklyRankPoints!E44 &gt; 10,0,(IF(WeeklyRankPoints!E44 = 0,0,VLOOKUP(WeeklyRankPoints!E44,$AA$5:$AB$14,2))*E$3)) + IF(Actuals!F44  = "",0,10)))</f>
        <v>0</v>
      </c>
      <c r="F45" s="30">
        <f>if( Actuals!$A44=1,0,(IF(WeeklyRankPoints!F44 &gt; 10,0,(IF(WeeklyRankPoints!F44 = 0,0,VLOOKUP(WeeklyRankPoints!F44,$AA$5:$AB$14,2))*F$3)) + IF(Actuals!G44  = "",0,10)))</f>
        <v>0</v>
      </c>
      <c r="G45" s="30">
        <f>if( Actuals!$A44=1,0,(IF(WeeklyRankPoints!G44 &gt; 10,0,(IF(WeeklyRankPoints!G44 = 0,0,VLOOKUP(WeeklyRankPoints!G44,$AA$5:$AB$14,2))*G$3)) + IF(Actuals!H44  = "",0,10)))</f>
        <v>0</v>
      </c>
      <c r="H45" s="30">
        <f>if( Actuals!$A44=1,0,(IF(WeeklyRankPoints!H44 &gt; 10,0,(IF(WeeklyRankPoints!H44 = 0,0,VLOOKUP(WeeklyRankPoints!H44,$AA$5:$AB$14,2))*H$3)) + IF(Actuals!I44  = "",0,10)))</f>
        <v>0</v>
      </c>
      <c r="I45" s="30">
        <f>if( Actuals!$A44=1,0,(IF(WeeklyRankPoints!I44 &gt; 10,0,(IF(WeeklyRankPoints!I44 = 0,0,VLOOKUP(WeeklyRankPoints!I44,$AA$5:$AB$14,2))*I$3)) + IF(Actuals!J44  = "",0,10)))</f>
        <v>0</v>
      </c>
      <c r="J45" s="30">
        <f>if( Actuals!$A44=1,0,(IF(WeeklyRankPoints!J44 &gt; 10,0,(IF(WeeklyRankPoints!J44 = 0,0,VLOOKUP(WeeklyRankPoints!J44,$AA$5:$AB$14,2))*J$3)) + IF(Actuals!K44  = "",0,10)))</f>
        <v>0</v>
      </c>
      <c r="K45" s="30">
        <f>if( Actuals!$A44=1,0,(IF(WeeklyRankPoints!K44 &gt; 10,0,(IF(WeeklyRankPoints!K44 = 0,0,VLOOKUP(WeeklyRankPoints!K44,$AA$5:$AB$14,2))*K$3)) + IF(Actuals!L44  = "",0,10)))</f>
        <v>0</v>
      </c>
      <c r="L45" s="30">
        <f>if( Actuals!$A44=1,0,(IF(WeeklyRankPoints!L44 &gt; 10,0,(IF(WeeklyRankPoints!L44 = 0,0,VLOOKUP(WeeklyRankPoints!L44,$AA$5:$AB$14,2))*L$3)) + IF(Actuals!M44  = "",0,10)))</f>
        <v>0</v>
      </c>
      <c r="M45" s="30">
        <f>if( Actuals!$A44=1,0,(IF(WeeklyRankPoints!M44 &gt; 10,0,(IF(WeeklyRankPoints!M44 = 0,0,VLOOKUP(WeeklyRankPoints!M44,$AA$5:$AB$14,2))*M$3)) + IF(Actuals!N44  = "",0,10)))</f>
        <v>0</v>
      </c>
      <c r="N45" s="30">
        <f>if( Actuals!$A44=1,0,(IF(WeeklyRankPoints!N44 &gt; 10,0,(IF(WeeklyRankPoints!N44 = 0,0,VLOOKUP(WeeklyRankPoints!N44,$AA$5:$AB$14,2))*N$3)) + IF(Actuals!O44  = "",0,10)))</f>
        <v>0</v>
      </c>
      <c r="O45" s="30">
        <f>if( Actuals!$A44=1,0,(IF(WeeklyRankPoints!O44 &gt; 10,0,(IF(WeeklyRankPoints!O44 = 0,0,VLOOKUP(WeeklyRankPoints!O44,$AA$5:$AB$14,2))*O$3)) + IF(Actuals!P44  = "",0,10)))</f>
        <v>0</v>
      </c>
      <c r="P45" s="30">
        <f>if( Actuals!$A44=1,0,(IF(WeeklyRankPoints!P44 &gt; 10,0,(IF(WeeklyRankPoints!P44 = 0,0,VLOOKUP(WeeklyRankPoints!P44,$AA$5:$AB$14,2))*P$3)) + IF(Actuals!Q44  = "",0,10)))</f>
        <v>0</v>
      </c>
      <c r="Q45" s="30">
        <f>if( Actuals!$A44=1,0,(IF(WeeklyRankPoints!Q44 &gt; 10,0,(IF(WeeklyRankPoints!Q44 = 0,0,VLOOKUP(WeeklyRankPoints!Q44,$AA$5:$AB$14,2))*Q$3)) + IF(Actuals!R44  = "",0,10)))</f>
        <v>0</v>
      </c>
      <c r="R45" s="32">
        <f t="shared" si="3"/>
        <v>140</v>
      </c>
      <c r="S45" s="33">
        <f t="shared" si="4"/>
        <v>3</v>
      </c>
      <c r="T45" s="30">
        <f>COUNT(Actuals!C44:R44)</f>
        <v>2</v>
      </c>
      <c r="U45" s="32">
        <f t="shared" si="5"/>
        <v>70</v>
      </c>
      <c r="V45" s="20">
        <f>WeeklyRankMoney!R44</f>
        <v>0</v>
      </c>
      <c r="W45" s="20">
        <f>WeeklyRankMoney!S44</f>
        <v>1</v>
      </c>
      <c r="X45" s="20">
        <f>WeeklyRankMoney!T44</f>
        <v>1</v>
      </c>
      <c r="Y45" s="34">
        <f>Strokes!Q44</f>
        <v>0</v>
      </c>
      <c r="Z45" s="27"/>
      <c r="AA45" s="27"/>
      <c r="AB45" s="27"/>
      <c r="AC45" s="27"/>
      <c r="AD45" s="27"/>
      <c r="AE45" s="27"/>
      <c r="AF45" s="27"/>
      <c r="AG45" s="27"/>
    </row>
    <row r="46">
      <c r="A46" s="26" t="str">
        <f>Actuals!B45</f>
        <v>James D</v>
      </c>
      <c r="B46" s="30">
        <f>if( Actuals!$A45=1,0,(IF(WeeklyRankPoints!B45 &gt; 10,0,(IF(WeeklyRankPoints!B45 = 0,0,VLOOKUP(WeeklyRankPoints!B45,$AA$5:$AB$14,2))*B$3)) + IF(Actuals!C45  = "",0,10)))</f>
        <v>0</v>
      </c>
      <c r="C46" s="30">
        <f>if( Actuals!$A45=1,0,(IF(WeeklyRankPoints!C45 &gt; 10,0,(IF(WeeklyRankPoints!C45 = 0,0,VLOOKUP(WeeklyRankPoints!C45,$AA$5:$AB$14,2))*C$3)) + IF(Actuals!D45  = "",0,10)))</f>
        <v>0</v>
      </c>
      <c r="D46" s="30">
        <f>if( Actuals!$A45=1,0,(IF(WeeklyRankPoints!D45 &gt; 10,0,(IF(WeeklyRankPoints!D45 = 0,0,VLOOKUP(WeeklyRankPoints!D45,$AA$5:$AB$14,2))*D$3)) + IF(Actuals!E45  = "",0,10)))</f>
        <v>0</v>
      </c>
      <c r="E46" s="30">
        <f>if( Actuals!$A45=1,0,(IF(WeeklyRankPoints!E45 &gt; 10,0,(IF(WeeklyRankPoints!E45 = 0,0,VLOOKUP(WeeklyRankPoints!E45,$AA$5:$AB$14,2))*E$3)) + IF(Actuals!F45  = "",0,10)))</f>
        <v>0</v>
      </c>
      <c r="F46" s="30">
        <f>if( Actuals!$A45=1,0,(IF(WeeklyRankPoints!F45 &gt; 10,0,(IF(WeeklyRankPoints!F45 = 0,0,VLOOKUP(WeeklyRankPoints!F45,$AA$5:$AB$14,2))*F$3)) + IF(Actuals!G45  = "",0,10)))</f>
        <v>0</v>
      </c>
      <c r="G46" s="30">
        <f>if( Actuals!$A45=1,0,(IF(WeeklyRankPoints!G45 &gt; 10,0,(IF(WeeklyRankPoints!G45 = 0,0,VLOOKUP(WeeklyRankPoints!G45,$AA$5:$AB$14,2))*G$3)) + IF(Actuals!H45  = "",0,10)))</f>
        <v>0</v>
      </c>
      <c r="H46" s="30">
        <f>if( Actuals!$A45=1,0,(IF(WeeklyRankPoints!H45 &gt; 10,0,(IF(WeeklyRankPoints!H45 = 0,0,VLOOKUP(WeeklyRankPoints!H45,$AA$5:$AB$14,2))*H$3)) + IF(Actuals!I45  = "",0,10)))</f>
        <v>0</v>
      </c>
      <c r="I46" s="30">
        <f>if( Actuals!$A45=1,0,(IF(WeeklyRankPoints!I45 &gt; 10,0,(IF(WeeklyRankPoints!I45 = 0,0,VLOOKUP(WeeklyRankPoints!I45,$AA$5:$AB$14,2))*I$3)) + IF(Actuals!J45  = "",0,10)))</f>
        <v>0</v>
      </c>
      <c r="J46" s="30">
        <f>if( Actuals!$A45=1,0,(IF(WeeklyRankPoints!J45 &gt; 10,0,(IF(WeeklyRankPoints!J45 = 0,0,VLOOKUP(WeeklyRankPoints!J45,$AA$5:$AB$14,2))*J$3)) + IF(Actuals!K45  = "",0,10)))</f>
        <v>0</v>
      </c>
      <c r="K46" s="30">
        <f>if( Actuals!$A45=1,0,(IF(WeeklyRankPoints!K45 &gt; 10,0,(IF(WeeklyRankPoints!K45 = 0,0,VLOOKUP(WeeklyRankPoints!K45,$AA$5:$AB$14,2))*K$3)) + IF(Actuals!L45  = "",0,10)))</f>
        <v>0</v>
      </c>
      <c r="L46" s="30">
        <f>if( Actuals!$A45=1,0,(IF(WeeklyRankPoints!L45 &gt; 10,0,(IF(WeeklyRankPoints!L45 = 0,0,VLOOKUP(WeeklyRankPoints!L45,$AA$5:$AB$14,2))*L$3)) + IF(Actuals!M45  = "",0,10)))</f>
        <v>0</v>
      </c>
      <c r="M46" s="30">
        <f>if( Actuals!$A45=1,0,(IF(WeeklyRankPoints!M45 &gt; 10,0,(IF(WeeklyRankPoints!M45 = 0,0,VLOOKUP(WeeklyRankPoints!M45,$AA$5:$AB$14,2))*M$3)) + IF(Actuals!N45  = "",0,10)))</f>
        <v>0</v>
      </c>
      <c r="N46" s="30">
        <f>if( Actuals!$A45=1,0,(IF(WeeklyRankPoints!N45 &gt; 10,0,(IF(WeeklyRankPoints!N45 = 0,0,VLOOKUP(WeeklyRankPoints!N45,$AA$5:$AB$14,2))*N$3)) + IF(Actuals!O45  = "",0,10)))</f>
        <v>0</v>
      </c>
      <c r="O46" s="30">
        <f>if( Actuals!$A45=1,0,(IF(WeeklyRankPoints!O45 &gt; 10,0,(IF(WeeklyRankPoints!O45 = 0,0,VLOOKUP(WeeklyRankPoints!O45,$AA$5:$AB$14,2))*O$3)) + IF(Actuals!P45  = "",0,10)))</f>
        <v>0</v>
      </c>
      <c r="P46" s="30">
        <f>if( Actuals!$A45=1,0,(IF(WeeklyRankPoints!P45 &gt; 10,0,(IF(WeeklyRankPoints!P45 = 0,0,VLOOKUP(WeeklyRankPoints!P45,$AA$5:$AB$14,2))*P$3)) + IF(Actuals!Q45  = "",0,10)))</f>
        <v>0</v>
      </c>
      <c r="Q46" s="30">
        <f>if( Actuals!$A45=1,0,(IF(WeeklyRankPoints!Q45 &gt; 10,0,(IF(WeeklyRankPoints!Q45 = 0,0,VLOOKUP(WeeklyRankPoints!Q45,$AA$5:$AB$14,2))*Q$3)) + IF(Actuals!R45  = "",0,10)))</f>
        <v>0</v>
      </c>
      <c r="R46" s="32">
        <f t="shared" si="3"/>
        <v>0</v>
      </c>
      <c r="S46" s="33">
        <f t="shared" si="4"/>
        <v>17</v>
      </c>
      <c r="T46" s="30">
        <f>COUNT(Actuals!C45:R45)</f>
        <v>0</v>
      </c>
      <c r="U46" s="32">
        <f t="shared" si="5"/>
        <v>0</v>
      </c>
      <c r="V46" s="20">
        <f>WeeklyRankMoney!R45</f>
        <v>0</v>
      </c>
      <c r="W46" s="20">
        <f>WeeklyRankMoney!S45</f>
        <v>0</v>
      </c>
      <c r="X46" s="20">
        <f>WeeklyRankMoney!T45</f>
        <v>0</v>
      </c>
      <c r="Y46" s="34">
        <f>Strokes!Q45</f>
        <v>-9.1</v>
      </c>
      <c r="Z46" s="27"/>
      <c r="AA46" s="27"/>
      <c r="AB46" s="27"/>
      <c r="AC46" s="27"/>
      <c r="AD46" s="27"/>
      <c r="AE46" s="27"/>
      <c r="AF46" s="27"/>
      <c r="AG46" s="27"/>
    </row>
    <row r="47">
      <c r="A47" s="26" t="str">
        <f>Actuals!B46</f>
        <v>Josh Norris</v>
      </c>
      <c r="B47" s="30">
        <f>if( Actuals!$A46=1,0,(IF(WeeklyRankPoints!B46 &gt; 10,0,(IF(WeeklyRankPoints!B46 = 0,0,VLOOKUP(WeeklyRankPoints!B46,$AA$5:$AB$14,2))*B$3)) + IF(Actuals!C46  = "",0,10)))</f>
        <v>0</v>
      </c>
      <c r="C47" s="30">
        <f>if( Actuals!$A46=1,0,(IF(WeeklyRankPoints!C46 &gt; 10,0,(IF(WeeklyRankPoints!C46 = 0,0,VLOOKUP(WeeklyRankPoints!C46,$AA$5:$AB$14,2))*C$3)) + IF(Actuals!D46  = "",0,10)))</f>
        <v>0</v>
      </c>
      <c r="D47" s="30">
        <f>if( Actuals!$A46=1,0,(IF(WeeklyRankPoints!D46 &gt; 10,0,(IF(WeeklyRankPoints!D46 = 0,0,VLOOKUP(WeeklyRankPoints!D46,$AA$5:$AB$14,2))*D$3)) + IF(Actuals!E46  = "",0,10)))</f>
        <v>0</v>
      </c>
      <c r="E47" s="30">
        <f>if( Actuals!$A46=1,0,(IF(WeeklyRankPoints!E46 &gt; 10,0,(IF(WeeklyRankPoints!E46 = 0,0,VLOOKUP(WeeklyRankPoints!E46,$AA$5:$AB$14,2))*E$3)) + IF(Actuals!F46  = "",0,10)))</f>
        <v>0</v>
      </c>
      <c r="F47" s="30">
        <f>if( Actuals!$A46=1,0,(IF(WeeklyRankPoints!F46 &gt; 10,0,(IF(WeeklyRankPoints!F46 = 0,0,VLOOKUP(WeeklyRankPoints!F46,$AA$5:$AB$14,2))*F$3)) + IF(Actuals!G46  = "",0,10)))</f>
        <v>0</v>
      </c>
      <c r="G47" s="30">
        <f>if( Actuals!$A46=1,0,(IF(WeeklyRankPoints!G46 &gt; 10,0,(IF(WeeklyRankPoints!G46 = 0,0,VLOOKUP(WeeklyRankPoints!G46,$AA$5:$AB$14,2))*G$3)) + IF(Actuals!H46  = "",0,10)))</f>
        <v>0</v>
      </c>
      <c r="H47" s="30">
        <f>if( Actuals!$A46=1,0,(IF(WeeklyRankPoints!H46 &gt; 10,0,(IF(WeeklyRankPoints!H46 = 0,0,VLOOKUP(WeeklyRankPoints!H46,$AA$5:$AB$14,2))*H$3)) + IF(Actuals!I46  = "",0,10)))</f>
        <v>0</v>
      </c>
      <c r="I47" s="30">
        <f>if( Actuals!$A46=1,0,(IF(WeeklyRankPoints!I46 &gt; 10,0,(IF(WeeklyRankPoints!I46 = 0,0,VLOOKUP(WeeklyRankPoints!I46,$AA$5:$AB$14,2))*I$3)) + IF(Actuals!J46  = "",0,10)))</f>
        <v>0</v>
      </c>
      <c r="J47" s="30">
        <f>if( Actuals!$A46=1,0,(IF(WeeklyRankPoints!J46 &gt; 10,0,(IF(WeeklyRankPoints!J46 = 0,0,VLOOKUP(WeeklyRankPoints!J46,$AA$5:$AB$14,2))*J$3)) + IF(Actuals!K46  = "",0,10)))</f>
        <v>0</v>
      </c>
      <c r="K47" s="30">
        <f>if( Actuals!$A46=1,0,(IF(WeeklyRankPoints!K46 &gt; 10,0,(IF(WeeklyRankPoints!K46 = 0,0,VLOOKUP(WeeklyRankPoints!K46,$AA$5:$AB$14,2))*K$3)) + IF(Actuals!L46  = "",0,10)))</f>
        <v>0</v>
      </c>
      <c r="L47" s="30">
        <f>if( Actuals!$A46=1,0,(IF(WeeklyRankPoints!L46 &gt; 10,0,(IF(WeeklyRankPoints!L46 = 0,0,VLOOKUP(WeeklyRankPoints!L46,$AA$5:$AB$14,2))*L$3)) + IF(Actuals!M46  = "",0,10)))</f>
        <v>0</v>
      </c>
      <c r="M47" s="30">
        <f>if( Actuals!$A46=1,0,(IF(WeeklyRankPoints!M46 &gt; 10,0,(IF(WeeklyRankPoints!M46 = 0,0,VLOOKUP(WeeklyRankPoints!M46,$AA$5:$AB$14,2))*M$3)) + IF(Actuals!N46  = "",0,10)))</f>
        <v>0</v>
      </c>
      <c r="N47" s="30">
        <f>if( Actuals!$A46=1,0,(IF(WeeklyRankPoints!N46 &gt; 10,0,(IF(WeeklyRankPoints!N46 = 0,0,VLOOKUP(WeeklyRankPoints!N46,$AA$5:$AB$14,2))*N$3)) + IF(Actuals!O46  = "",0,10)))</f>
        <v>0</v>
      </c>
      <c r="O47" s="30">
        <f>if( Actuals!$A46=1,0,(IF(WeeklyRankPoints!O46 &gt; 10,0,(IF(WeeklyRankPoints!O46 = 0,0,VLOOKUP(WeeklyRankPoints!O46,$AA$5:$AB$14,2))*O$3)) + IF(Actuals!P46  = "",0,10)))</f>
        <v>0</v>
      </c>
      <c r="P47" s="30">
        <f>if( Actuals!$A46=1,0,(IF(WeeklyRankPoints!P46 &gt; 10,0,(IF(WeeklyRankPoints!P46 = 0,0,VLOOKUP(WeeklyRankPoints!P46,$AA$5:$AB$14,2))*P$3)) + IF(Actuals!Q46  = "",0,10)))</f>
        <v>0</v>
      </c>
      <c r="Q47" s="30">
        <f>if( Actuals!$A46=1,0,(IF(WeeklyRankPoints!Q46 &gt; 10,0,(IF(WeeklyRankPoints!Q46 = 0,0,VLOOKUP(WeeklyRankPoints!Q46,$AA$5:$AB$14,2))*Q$3)) + IF(Actuals!R46  = "",0,10)))</f>
        <v>0</v>
      </c>
      <c r="R47" s="32">
        <f t="shared" si="3"/>
        <v>0</v>
      </c>
      <c r="S47" s="33">
        <f t="shared" si="4"/>
        <v>17</v>
      </c>
      <c r="T47" s="30">
        <f>COUNT(Actuals!C46:R46)</f>
        <v>0</v>
      </c>
      <c r="U47" s="32">
        <f t="shared" si="5"/>
        <v>0</v>
      </c>
      <c r="V47" s="20">
        <f>WeeklyRankMoney!R46</f>
        <v>0</v>
      </c>
      <c r="W47" s="20">
        <f>WeeklyRankMoney!S46</f>
        <v>0</v>
      </c>
      <c r="X47" s="20">
        <f>WeeklyRankMoney!T46</f>
        <v>0</v>
      </c>
      <c r="Y47" s="34">
        <f>Strokes!Q46</f>
        <v>-17.4</v>
      </c>
      <c r="Z47" s="27"/>
      <c r="AA47" s="27"/>
      <c r="AB47" s="27"/>
      <c r="AC47" s="27"/>
      <c r="AD47" s="27"/>
      <c r="AE47" s="27"/>
      <c r="AF47" s="27"/>
      <c r="AG47" s="27"/>
    </row>
    <row r="48">
      <c r="A48" s="26" t="str">
        <f>Actuals!B47</f>
        <v>Simon Sr</v>
      </c>
      <c r="B48" s="30">
        <f>if( Actuals!$A47=1,0,(IF(WeeklyRankPoints!B47 &gt; 10,0,(IF(WeeklyRankPoints!B47 = 0,0,VLOOKUP(WeeklyRankPoints!B47,$AA$5:$AB$14,2))*B$3)) + IF(Actuals!C47  = "",0,10)))</f>
        <v>0</v>
      </c>
      <c r="C48" s="30">
        <f>if( Actuals!$A47=1,0,(IF(WeeklyRankPoints!C47 &gt; 10,0,(IF(WeeklyRankPoints!C47 = 0,0,VLOOKUP(WeeklyRankPoints!C47,$AA$5:$AB$14,2))*C$3)) + IF(Actuals!D47  = "",0,10)))</f>
        <v>0</v>
      </c>
      <c r="D48" s="30">
        <f>if( Actuals!$A47=1,0,(IF(WeeklyRankPoints!D47 &gt; 10,0,(IF(WeeklyRankPoints!D47 = 0,0,VLOOKUP(WeeklyRankPoints!D47,$AA$5:$AB$14,2))*D$3)) + IF(Actuals!E47  = "",0,10)))</f>
        <v>0</v>
      </c>
      <c r="E48" s="30">
        <f>if( Actuals!$A47=1,0,(IF(WeeklyRankPoints!E47 &gt; 10,0,(IF(WeeklyRankPoints!E47 = 0,0,VLOOKUP(WeeklyRankPoints!E47,$AA$5:$AB$14,2))*E$3)) + IF(Actuals!F47  = "",0,10)))</f>
        <v>0</v>
      </c>
      <c r="F48" s="30">
        <f>if( Actuals!$A47=1,0,(IF(WeeklyRankPoints!F47 &gt; 10,0,(IF(WeeklyRankPoints!F47 = 0,0,VLOOKUP(WeeklyRankPoints!F47,$AA$5:$AB$14,2))*F$3)) + IF(Actuals!G47  = "",0,10)))</f>
        <v>0</v>
      </c>
      <c r="G48" s="30">
        <f>if( Actuals!$A47=1,0,(IF(WeeklyRankPoints!G47 &gt; 10,0,(IF(WeeklyRankPoints!G47 = 0,0,VLOOKUP(WeeklyRankPoints!G47,$AA$5:$AB$14,2))*G$3)) + IF(Actuals!H47  = "",0,10)))</f>
        <v>0</v>
      </c>
      <c r="H48" s="30">
        <f>if( Actuals!$A47=1,0,(IF(WeeklyRankPoints!H47 &gt; 10,0,(IF(WeeklyRankPoints!H47 = 0,0,VLOOKUP(WeeklyRankPoints!H47,$AA$5:$AB$14,2))*H$3)) + IF(Actuals!I47  = "",0,10)))</f>
        <v>0</v>
      </c>
      <c r="I48" s="30">
        <f>if( Actuals!$A47=1,0,(IF(WeeklyRankPoints!I47 &gt; 10,0,(IF(WeeklyRankPoints!I47 = 0,0,VLOOKUP(WeeklyRankPoints!I47,$AA$5:$AB$14,2))*I$3)) + IF(Actuals!J47  = "",0,10)))</f>
        <v>0</v>
      </c>
      <c r="J48" s="30">
        <f>if( Actuals!$A47=1,0,(IF(WeeklyRankPoints!J47 &gt; 10,0,(IF(WeeklyRankPoints!J47 = 0,0,VLOOKUP(WeeklyRankPoints!J47,$AA$5:$AB$14,2))*J$3)) + IF(Actuals!K47  = "",0,10)))</f>
        <v>0</v>
      </c>
      <c r="K48" s="30">
        <f>if( Actuals!$A47=1,0,(IF(WeeklyRankPoints!K47 &gt; 10,0,(IF(WeeklyRankPoints!K47 = 0,0,VLOOKUP(WeeklyRankPoints!K47,$AA$5:$AB$14,2))*K$3)) + IF(Actuals!L47  = "",0,10)))</f>
        <v>0</v>
      </c>
      <c r="L48" s="30">
        <f>if( Actuals!$A47=1,0,(IF(WeeklyRankPoints!L47 &gt; 10,0,(IF(WeeklyRankPoints!L47 = 0,0,VLOOKUP(WeeklyRankPoints!L47,$AA$5:$AB$14,2))*L$3)) + IF(Actuals!M47  = "",0,10)))</f>
        <v>0</v>
      </c>
      <c r="M48" s="30">
        <f>if( Actuals!$A47=1,0,(IF(WeeklyRankPoints!M47 &gt; 10,0,(IF(WeeklyRankPoints!M47 = 0,0,VLOOKUP(WeeklyRankPoints!M47,$AA$5:$AB$14,2))*M$3)) + IF(Actuals!N47  = "",0,10)))</f>
        <v>0</v>
      </c>
      <c r="N48" s="30">
        <f>if( Actuals!$A47=1,0,(IF(WeeklyRankPoints!N47 &gt; 10,0,(IF(WeeklyRankPoints!N47 = 0,0,VLOOKUP(WeeklyRankPoints!N47,$AA$5:$AB$14,2))*N$3)) + IF(Actuals!O47  = "",0,10)))</f>
        <v>0</v>
      </c>
      <c r="O48" s="30">
        <f>if( Actuals!$A47=1,0,(IF(WeeklyRankPoints!O47 &gt; 10,0,(IF(WeeklyRankPoints!O47 = 0,0,VLOOKUP(WeeklyRankPoints!O47,$AA$5:$AB$14,2))*O$3)) + IF(Actuals!P47  = "",0,10)))</f>
        <v>0</v>
      </c>
      <c r="P48" s="30">
        <f>if( Actuals!$A47=1,0,(IF(WeeklyRankPoints!P47 &gt; 10,0,(IF(WeeklyRankPoints!P47 = 0,0,VLOOKUP(WeeklyRankPoints!P47,$AA$5:$AB$14,2))*P$3)) + IF(Actuals!Q47  = "",0,10)))</f>
        <v>0</v>
      </c>
      <c r="Q48" s="30">
        <f>if( Actuals!$A47=1,0,(IF(WeeklyRankPoints!Q47 &gt; 10,0,(IF(WeeklyRankPoints!Q47 = 0,0,VLOOKUP(WeeklyRankPoints!Q47,$AA$5:$AB$14,2))*Q$3)) + IF(Actuals!R47  = "",0,10)))</f>
        <v>0</v>
      </c>
      <c r="R48" s="32">
        <f t="shared" si="3"/>
        <v>0</v>
      </c>
      <c r="S48" s="33">
        <f t="shared" si="4"/>
        <v>17</v>
      </c>
      <c r="T48" s="30">
        <f>COUNT(Actuals!C47:R47)</f>
        <v>0</v>
      </c>
      <c r="U48" s="32">
        <f t="shared" si="5"/>
        <v>0</v>
      </c>
      <c r="V48" s="20">
        <f>WeeklyRankMoney!R47</f>
        <v>0</v>
      </c>
      <c r="W48" s="20">
        <f>WeeklyRankMoney!S47</f>
        <v>0</v>
      </c>
      <c r="X48" s="20">
        <f>WeeklyRankMoney!T47</f>
        <v>0</v>
      </c>
      <c r="Y48" s="34">
        <f>Strokes!Q47</f>
        <v>-4.6</v>
      </c>
      <c r="Z48" s="27"/>
      <c r="AA48" s="27"/>
      <c r="AB48" s="27"/>
      <c r="AC48" s="27"/>
      <c r="AD48" s="27"/>
      <c r="AE48" s="27"/>
      <c r="AF48" s="27"/>
      <c r="AG48" s="27"/>
    </row>
    <row r="49">
      <c r="A49" s="26" t="str">
        <f>Actuals!B48</f>
        <v>Francisco</v>
      </c>
      <c r="B49" s="30">
        <f>if( Actuals!$A48=1,0,(IF(WeeklyRankPoints!B48 &gt; 10,0,(IF(WeeklyRankPoints!B48 = 0,0,VLOOKUP(WeeklyRankPoints!B48,$AA$5:$AB$14,2))*B$3)) + IF(Actuals!C48  = "",0,10)))</f>
        <v>22</v>
      </c>
      <c r="C49" s="30">
        <f>if( Actuals!$A48=1,0,(IF(WeeklyRankPoints!C48 &gt; 10,0,(IF(WeeklyRankPoints!C48 = 0,0,VLOOKUP(WeeklyRankPoints!C48,$AA$5:$AB$14,2))*C$3)) + IF(Actuals!D48  = "",0,10)))</f>
        <v>55</v>
      </c>
      <c r="D49" s="30">
        <f>if( Actuals!$A48=1,0,(IF(WeeklyRankPoints!D48 &gt; 10,0,(IF(WeeklyRankPoints!D48 = 0,0,VLOOKUP(WeeklyRankPoints!D48,$AA$5:$AB$14,2))*D$3)) + IF(Actuals!E48  = "",0,10)))</f>
        <v>0</v>
      </c>
      <c r="E49" s="30">
        <f>if( Actuals!$A48=1,0,(IF(WeeklyRankPoints!E48 &gt; 10,0,(IF(WeeklyRankPoints!E48 = 0,0,VLOOKUP(WeeklyRankPoints!E48,$AA$5:$AB$14,2))*E$3)) + IF(Actuals!F48  = "",0,10)))</f>
        <v>0</v>
      </c>
      <c r="F49" s="30">
        <f>if( Actuals!$A48=1,0,(IF(WeeklyRankPoints!F48 &gt; 10,0,(IF(WeeklyRankPoints!F48 = 0,0,VLOOKUP(WeeklyRankPoints!F48,$AA$5:$AB$14,2))*F$3)) + IF(Actuals!G48  = "",0,10)))</f>
        <v>0</v>
      </c>
      <c r="G49" s="30">
        <f>if( Actuals!$A48=1,0,(IF(WeeklyRankPoints!G48 &gt; 10,0,(IF(WeeklyRankPoints!G48 = 0,0,VLOOKUP(WeeklyRankPoints!G48,$AA$5:$AB$14,2))*G$3)) + IF(Actuals!H48  = "",0,10)))</f>
        <v>0</v>
      </c>
      <c r="H49" s="30">
        <f>if( Actuals!$A48=1,0,(IF(WeeklyRankPoints!H48 &gt; 10,0,(IF(WeeklyRankPoints!H48 = 0,0,VLOOKUP(WeeklyRankPoints!H48,$AA$5:$AB$14,2))*H$3)) + IF(Actuals!I48  = "",0,10)))</f>
        <v>0</v>
      </c>
      <c r="I49" s="30">
        <f>if( Actuals!$A48=1,0,(IF(WeeklyRankPoints!I48 &gt; 10,0,(IF(WeeklyRankPoints!I48 = 0,0,VLOOKUP(WeeklyRankPoints!I48,$AA$5:$AB$14,2))*I$3)) + IF(Actuals!J48  = "",0,10)))</f>
        <v>0</v>
      </c>
      <c r="J49" s="30">
        <f>if( Actuals!$A48=1,0,(IF(WeeklyRankPoints!J48 &gt; 10,0,(IF(WeeklyRankPoints!J48 = 0,0,VLOOKUP(WeeklyRankPoints!J48,$AA$5:$AB$14,2))*J$3)) + IF(Actuals!K48  = "",0,10)))</f>
        <v>0</v>
      </c>
      <c r="K49" s="30">
        <f>if( Actuals!$A48=1,0,(IF(WeeklyRankPoints!K48 &gt; 10,0,(IF(WeeklyRankPoints!K48 = 0,0,VLOOKUP(WeeklyRankPoints!K48,$AA$5:$AB$14,2))*K$3)) + IF(Actuals!L48  = "",0,10)))</f>
        <v>0</v>
      </c>
      <c r="L49" s="30">
        <f>if( Actuals!$A48=1,0,(IF(WeeklyRankPoints!L48 &gt; 10,0,(IF(WeeklyRankPoints!L48 = 0,0,VLOOKUP(WeeklyRankPoints!L48,$AA$5:$AB$14,2))*L$3)) + IF(Actuals!M48  = "",0,10)))</f>
        <v>0</v>
      </c>
      <c r="M49" s="30">
        <f>if( Actuals!$A48=1,0,(IF(WeeklyRankPoints!M48 &gt; 10,0,(IF(WeeklyRankPoints!M48 = 0,0,VLOOKUP(WeeklyRankPoints!M48,$AA$5:$AB$14,2))*M$3)) + IF(Actuals!N48  = "",0,10)))</f>
        <v>0</v>
      </c>
      <c r="N49" s="30">
        <f>if( Actuals!$A48=1,0,(IF(WeeklyRankPoints!N48 &gt; 10,0,(IF(WeeklyRankPoints!N48 = 0,0,VLOOKUP(WeeklyRankPoints!N48,$AA$5:$AB$14,2))*N$3)) + IF(Actuals!O48  = "",0,10)))</f>
        <v>0</v>
      </c>
      <c r="O49" s="30">
        <f>if( Actuals!$A48=1,0,(IF(WeeklyRankPoints!O48 &gt; 10,0,(IF(WeeklyRankPoints!O48 = 0,0,VLOOKUP(WeeklyRankPoints!O48,$AA$5:$AB$14,2))*O$3)) + IF(Actuals!P48  = "",0,10)))</f>
        <v>0</v>
      </c>
      <c r="P49" s="30">
        <f>if( Actuals!$A48=1,0,(IF(WeeklyRankPoints!P48 &gt; 10,0,(IF(WeeklyRankPoints!P48 = 0,0,VLOOKUP(WeeklyRankPoints!P48,$AA$5:$AB$14,2))*P$3)) + IF(Actuals!Q48  = "",0,10)))</f>
        <v>0</v>
      </c>
      <c r="Q49" s="30">
        <f>if( Actuals!$A48=1,0,(IF(WeeklyRankPoints!Q48 &gt; 10,0,(IF(WeeklyRankPoints!Q48 = 0,0,VLOOKUP(WeeklyRankPoints!Q48,$AA$5:$AB$14,2))*Q$3)) + IF(Actuals!R48  = "",0,10)))</f>
        <v>0</v>
      </c>
      <c r="R49" s="32">
        <f t="shared" si="3"/>
        <v>77</v>
      </c>
      <c r="S49" s="33">
        <f t="shared" si="4"/>
        <v>10</v>
      </c>
      <c r="T49" s="30">
        <f>COUNT(Actuals!C48:R48)</f>
        <v>2</v>
      </c>
      <c r="U49" s="32">
        <f t="shared" si="5"/>
        <v>38.5</v>
      </c>
      <c r="V49" s="20">
        <f>WeeklyRankMoney!R48</f>
        <v>0</v>
      </c>
      <c r="W49" s="20">
        <f>WeeklyRankMoney!S48</f>
        <v>0</v>
      </c>
      <c r="X49" s="20">
        <f>WeeklyRankMoney!T48</f>
        <v>1</v>
      </c>
      <c r="Y49" s="34">
        <f>Strokes!Q48</f>
        <v>-7.2</v>
      </c>
      <c r="Z49" s="27"/>
      <c r="AA49" s="27"/>
      <c r="AB49" s="27"/>
      <c r="AC49" s="27"/>
      <c r="AD49" s="27"/>
      <c r="AE49" s="27"/>
      <c r="AF49" s="27"/>
      <c r="AG49" s="27"/>
    </row>
    <row r="50">
      <c r="A50" s="26" t="str">
        <f>Actuals!B49</f>
        <v>Cam King</v>
      </c>
      <c r="B50" s="30">
        <f>if( Actuals!$A49=1,0,(IF(WeeklyRankPoints!B49 &gt; 10,0,(IF(WeeklyRankPoints!B49 = 0,0,VLOOKUP(WeeklyRankPoints!B49,$AA$5:$AB$14,2))*B$3)) + IF(Actuals!C49  = "",0,10)))</f>
        <v>75</v>
      </c>
      <c r="C50" s="30">
        <f>if( Actuals!$A49=1,0,(IF(WeeklyRankPoints!C49 &gt; 10,0,(IF(WeeklyRankPoints!C49 = 0,0,VLOOKUP(WeeklyRankPoints!C49,$AA$5:$AB$14,2))*C$3)) + IF(Actuals!D49  = "",0,10)))</f>
        <v>30</v>
      </c>
      <c r="D50" s="30">
        <f>if( Actuals!$A49=1,0,(IF(WeeklyRankPoints!D49 &gt; 10,0,(IF(WeeklyRankPoints!D49 = 0,0,VLOOKUP(WeeklyRankPoints!D49,$AA$5:$AB$14,2))*D$3)) + IF(Actuals!E49  = "",0,10)))</f>
        <v>30</v>
      </c>
      <c r="E50" s="30">
        <f>if( Actuals!$A49=1,0,(IF(WeeklyRankPoints!E49 &gt; 10,0,(IF(WeeklyRankPoints!E49 = 0,0,VLOOKUP(WeeklyRankPoints!E49,$AA$5:$AB$14,2))*E$3)) + IF(Actuals!F49  = "",0,10)))</f>
        <v>0</v>
      </c>
      <c r="F50" s="30">
        <f>if( Actuals!$A49=1,0,(IF(WeeklyRankPoints!F49 &gt; 10,0,(IF(WeeklyRankPoints!F49 = 0,0,VLOOKUP(WeeklyRankPoints!F49,$AA$5:$AB$14,2))*F$3)) + IF(Actuals!G49  = "",0,10)))</f>
        <v>0</v>
      </c>
      <c r="G50" s="30">
        <f>if( Actuals!$A49=1,0,(IF(WeeklyRankPoints!G49 &gt; 10,0,(IF(WeeklyRankPoints!G49 = 0,0,VLOOKUP(WeeklyRankPoints!G49,$AA$5:$AB$14,2))*G$3)) + IF(Actuals!H49  = "",0,10)))</f>
        <v>0</v>
      </c>
      <c r="H50" s="30">
        <f>if( Actuals!$A49=1,0,(IF(WeeklyRankPoints!H49 &gt; 10,0,(IF(WeeklyRankPoints!H49 = 0,0,VLOOKUP(WeeklyRankPoints!H49,$AA$5:$AB$14,2))*H$3)) + IF(Actuals!I49  = "",0,10)))</f>
        <v>0</v>
      </c>
      <c r="I50" s="30">
        <f>if( Actuals!$A49=1,0,(IF(WeeklyRankPoints!I49 &gt; 10,0,(IF(WeeklyRankPoints!I49 = 0,0,VLOOKUP(WeeklyRankPoints!I49,$AA$5:$AB$14,2))*I$3)) + IF(Actuals!J49  = "",0,10)))</f>
        <v>0</v>
      </c>
      <c r="J50" s="30">
        <f>if( Actuals!$A49=1,0,(IF(WeeklyRankPoints!J49 &gt; 10,0,(IF(WeeklyRankPoints!J49 = 0,0,VLOOKUP(WeeklyRankPoints!J49,$AA$5:$AB$14,2))*J$3)) + IF(Actuals!K49  = "",0,10)))</f>
        <v>0</v>
      </c>
      <c r="K50" s="30">
        <f>if( Actuals!$A49=1,0,(IF(WeeklyRankPoints!K49 &gt; 10,0,(IF(WeeklyRankPoints!K49 = 0,0,VLOOKUP(WeeklyRankPoints!K49,$AA$5:$AB$14,2))*K$3)) + IF(Actuals!L49  = "",0,10)))</f>
        <v>0</v>
      </c>
      <c r="L50" s="30">
        <f>if( Actuals!$A49=1,0,(IF(WeeklyRankPoints!L49 &gt; 10,0,(IF(WeeklyRankPoints!L49 = 0,0,VLOOKUP(WeeklyRankPoints!L49,$AA$5:$AB$14,2))*L$3)) + IF(Actuals!M49  = "",0,10)))</f>
        <v>0</v>
      </c>
      <c r="M50" s="30">
        <f>if( Actuals!$A49=1,0,(IF(WeeklyRankPoints!M49 &gt; 10,0,(IF(WeeklyRankPoints!M49 = 0,0,VLOOKUP(WeeklyRankPoints!M49,$AA$5:$AB$14,2))*M$3)) + IF(Actuals!N49  = "",0,10)))</f>
        <v>0</v>
      </c>
      <c r="N50" s="30">
        <f>if( Actuals!$A49=1,0,(IF(WeeklyRankPoints!N49 &gt; 10,0,(IF(WeeklyRankPoints!N49 = 0,0,VLOOKUP(WeeklyRankPoints!N49,$AA$5:$AB$14,2))*N$3)) + IF(Actuals!O49  = "",0,10)))</f>
        <v>0</v>
      </c>
      <c r="O50" s="30">
        <f>if( Actuals!$A49=1,0,(IF(WeeklyRankPoints!O49 &gt; 10,0,(IF(WeeklyRankPoints!O49 = 0,0,VLOOKUP(WeeklyRankPoints!O49,$AA$5:$AB$14,2))*O$3)) + IF(Actuals!P49  = "",0,10)))</f>
        <v>0</v>
      </c>
      <c r="P50" s="30">
        <f>if( Actuals!$A49=1,0,(IF(WeeklyRankPoints!P49 &gt; 10,0,(IF(WeeklyRankPoints!P49 = 0,0,VLOOKUP(WeeklyRankPoints!P49,$AA$5:$AB$14,2))*P$3)) + IF(Actuals!Q49  = "",0,10)))</f>
        <v>0</v>
      </c>
      <c r="Q50" s="30">
        <f>if( Actuals!$A49=1,0,(IF(WeeklyRankPoints!Q49 &gt; 10,0,(IF(WeeklyRankPoints!Q49 = 0,0,VLOOKUP(WeeklyRankPoints!Q49,$AA$5:$AB$14,2))*Q$3)) + IF(Actuals!R49  = "",0,10)))</f>
        <v>0</v>
      </c>
      <c r="R50" s="32">
        <f t="shared" si="3"/>
        <v>135</v>
      </c>
      <c r="S50" s="33">
        <f t="shared" si="4"/>
        <v>4</v>
      </c>
      <c r="T50" s="30">
        <f>COUNT(Actuals!C49:R49)</f>
        <v>3</v>
      </c>
      <c r="U50" s="32">
        <f t="shared" si="5"/>
        <v>45</v>
      </c>
      <c r="V50" s="20">
        <f>WeeklyRankMoney!R49</f>
        <v>0</v>
      </c>
      <c r="W50" s="20">
        <f>WeeklyRankMoney!S49</f>
        <v>1</v>
      </c>
      <c r="X50" s="20">
        <f>WeeklyRankMoney!T49</f>
        <v>1</v>
      </c>
      <c r="Y50" s="34">
        <f>Strokes!Q49</f>
        <v>-7.4</v>
      </c>
      <c r="Z50" s="27"/>
      <c r="AA50" s="27"/>
      <c r="AB50" s="27"/>
      <c r="AC50" s="27"/>
      <c r="AD50" s="27"/>
      <c r="AE50" s="27"/>
      <c r="AF50" s="27"/>
      <c r="AG50" s="27"/>
    </row>
    <row r="51">
      <c r="A51" s="26" t="str">
        <f>Actuals!B50</f>
        <v>Dan K</v>
      </c>
      <c r="B51" s="30">
        <f>if( Actuals!$A50=1,0,(IF(WeeklyRankPoints!B50 &gt; 10,0,(IF(WeeklyRankPoints!B50 = 0,0,VLOOKUP(WeeklyRankPoints!B50,$AA$5:$AB$14,2))*B$3)) + IF(Actuals!C50  = "",0,10)))</f>
        <v>22</v>
      </c>
      <c r="C51" s="30">
        <f>if( Actuals!$A50=1,0,(IF(WeeklyRankPoints!C50 &gt; 10,0,(IF(WeeklyRankPoints!C50 = 0,0,VLOOKUP(WeeklyRankPoints!C50,$AA$5:$AB$14,2))*C$3)) + IF(Actuals!D50  = "",0,10)))</f>
        <v>0</v>
      </c>
      <c r="D51" s="30">
        <f>if( Actuals!$A50=1,0,(IF(WeeklyRankPoints!D50 &gt; 10,0,(IF(WeeklyRankPoints!D50 = 0,0,VLOOKUP(WeeklyRankPoints!D50,$AA$5:$AB$14,2))*D$3)) + IF(Actuals!E50  = "",0,10)))</f>
        <v>40</v>
      </c>
      <c r="E51" s="30">
        <f>if( Actuals!$A50=1,0,(IF(WeeklyRankPoints!E50 &gt; 10,0,(IF(WeeklyRankPoints!E50 = 0,0,VLOOKUP(WeeklyRankPoints!E50,$AA$5:$AB$14,2))*E$3)) + IF(Actuals!F50  = "",0,10)))</f>
        <v>0</v>
      </c>
      <c r="F51" s="30">
        <f>if( Actuals!$A50=1,0,(IF(WeeklyRankPoints!F50 &gt; 10,0,(IF(WeeklyRankPoints!F50 = 0,0,VLOOKUP(WeeklyRankPoints!F50,$AA$5:$AB$14,2))*F$3)) + IF(Actuals!G50  = "",0,10)))</f>
        <v>0</v>
      </c>
      <c r="G51" s="30">
        <f>if( Actuals!$A50=1,0,(IF(WeeklyRankPoints!G50 &gt; 10,0,(IF(WeeklyRankPoints!G50 = 0,0,VLOOKUP(WeeklyRankPoints!G50,$AA$5:$AB$14,2))*G$3)) + IF(Actuals!H50  = "",0,10)))</f>
        <v>0</v>
      </c>
      <c r="H51" s="30">
        <f>if( Actuals!$A50=1,0,(IF(WeeklyRankPoints!H50 &gt; 10,0,(IF(WeeklyRankPoints!H50 = 0,0,VLOOKUP(WeeklyRankPoints!H50,$AA$5:$AB$14,2))*H$3)) + IF(Actuals!I50  = "",0,10)))</f>
        <v>0</v>
      </c>
      <c r="I51" s="30">
        <f>if( Actuals!$A50=1,0,(IF(WeeklyRankPoints!I50 &gt; 10,0,(IF(WeeklyRankPoints!I50 = 0,0,VLOOKUP(WeeklyRankPoints!I50,$AA$5:$AB$14,2))*I$3)) + IF(Actuals!J50  = "",0,10)))</f>
        <v>0</v>
      </c>
      <c r="J51" s="30">
        <f>if( Actuals!$A50=1,0,(IF(WeeklyRankPoints!J50 &gt; 10,0,(IF(WeeklyRankPoints!J50 = 0,0,VLOOKUP(WeeklyRankPoints!J50,$AA$5:$AB$14,2))*J$3)) + IF(Actuals!K50  = "",0,10)))</f>
        <v>0</v>
      </c>
      <c r="K51" s="30">
        <f>if( Actuals!$A50=1,0,(IF(WeeklyRankPoints!K50 &gt; 10,0,(IF(WeeklyRankPoints!K50 = 0,0,VLOOKUP(WeeklyRankPoints!K50,$AA$5:$AB$14,2))*K$3)) + IF(Actuals!L50  = "",0,10)))</f>
        <v>0</v>
      </c>
      <c r="L51" s="30">
        <f>if( Actuals!$A50=1,0,(IF(WeeklyRankPoints!L50 &gt; 10,0,(IF(WeeklyRankPoints!L50 = 0,0,VLOOKUP(WeeklyRankPoints!L50,$AA$5:$AB$14,2))*L$3)) + IF(Actuals!M50  = "",0,10)))</f>
        <v>0</v>
      </c>
      <c r="M51" s="30">
        <f>if( Actuals!$A50=1,0,(IF(WeeklyRankPoints!M50 &gt; 10,0,(IF(WeeklyRankPoints!M50 = 0,0,VLOOKUP(WeeklyRankPoints!M50,$AA$5:$AB$14,2))*M$3)) + IF(Actuals!N50  = "",0,10)))</f>
        <v>0</v>
      </c>
      <c r="N51" s="30">
        <f>if( Actuals!$A50=1,0,(IF(WeeklyRankPoints!N50 &gt; 10,0,(IF(WeeklyRankPoints!N50 = 0,0,VLOOKUP(WeeklyRankPoints!N50,$AA$5:$AB$14,2))*N$3)) + IF(Actuals!O50  = "",0,10)))</f>
        <v>0</v>
      </c>
      <c r="O51" s="30">
        <f>if( Actuals!$A50=1,0,(IF(WeeklyRankPoints!O50 &gt; 10,0,(IF(WeeklyRankPoints!O50 = 0,0,VLOOKUP(WeeklyRankPoints!O50,$AA$5:$AB$14,2))*O$3)) + IF(Actuals!P50  = "",0,10)))</f>
        <v>0</v>
      </c>
      <c r="P51" s="30">
        <f>if( Actuals!$A50=1,0,(IF(WeeklyRankPoints!P50 &gt; 10,0,(IF(WeeklyRankPoints!P50 = 0,0,VLOOKUP(WeeklyRankPoints!P50,$AA$5:$AB$14,2))*P$3)) + IF(Actuals!Q50  = "",0,10)))</f>
        <v>0</v>
      </c>
      <c r="Q51" s="30">
        <f>if( Actuals!$A50=1,0,(IF(WeeklyRankPoints!Q50 &gt; 10,0,(IF(WeeklyRankPoints!Q50 = 0,0,VLOOKUP(WeeklyRankPoints!Q50,$AA$5:$AB$14,2))*Q$3)) + IF(Actuals!R50  = "",0,10)))</f>
        <v>0</v>
      </c>
      <c r="R51" s="32">
        <f t="shared" si="3"/>
        <v>62</v>
      </c>
      <c r="S51" s="33">
        <f t="shared" si="4"/>
        <v>12</v>
      </c>
      <c r="T51" s="30">
        <f>COUNT(Actuals!C50:R50)</f>
        <v>2</v>
      </c>
      <c r="U51" s="32">
        <f t="shared" si="5"/>
        <v>31</v>
      </c>
      <c r="V51" s="20">
        <f>WeeklyRankMoney!R50</f>
        <v>0</v>
      </c>
      <c r="W51" s="20">
        <f>WeeklyRankMoney!S50</f>
        <v>0</v>
      </c>
      <c r="X51" s="20">
        <f>WeeklyRankMoney!T50</f>
        <v>0</v>
      </c>
      <c r="Y51" s="34">
        <f>Strokes!Q50</f>
        <v>-8.6</v>
      </c>
      <c r="Z51" s="27"/>
      <c r="AA51" s="27"/>
      <c r="AB51" s="27"/>
      <c r="AC51" s="27"/>
      <c r="AD51" s="27"/>
      <c r="AE51" s="27"/>
      <c r="AF51" s="27"/>
      <c r="AG51" s="27"/>
    </row>
    <row r="52">
      <c r="A52" s="26" t="str">
        <f>Actuals!B51</f>
        <v>Davis</v>
      </c>
      <c r="B52" s="30">
        <f>if( Actuals!$A51=1,0,(IF(WeeklyRankPoints!B51 &gt; 10,0,(IF(WeeklyRankPoints!B51 = 0,0,VLOOKUP(WeeklyRankPoints!B51,$AA$5:$AB$14,2))*B$3)) + IF(Actuals!C51  = "",0,10)))</f>
        <v>0</v>
      </c>
      <c r="C52" s="30">
        <f>if( Actuals!$A51=1,0,(IF(WeeklyRankPoints!C51 &gt; 10,0,(IF(WeeklyRankPoints!C51 = 0,0,VLOOKUP(WeeklyRankPoints!C51,$AA$5:$AB$14,2))*C$3)) + IF(Actuals!D51  = "",0,10)))</f>
        <v>0</v>
      </c>
      <c r="D52" s="30">
        <f>if( Actuals!$A51=1,0,(IF(WeeklyRankPoints!D51 &gt; 10,0,(IF(WeeklyRankPoints!D51 = 0,0,VLOOKUP(WeeklyRankPoints!D51,$AA$5:$AB$14,2))*D$3)) + IF(Actuals!E51  = "",0,10)))</f>
        <v>0</v>
      </c>
      <c r="E52" s="30">
        <f>if( Actuals!$A51=1,0,(IF(WeeklyRankPoints!E51 &gt; 10,0,(IF(WeeklyRankPoints!E51 = 0,0,VLOOKUP(WeeklyRankPoints!E51,$AA$5:$AB$14,2))*E$3)) + IF(Actuals!F51  = "",0,10)))</f>
        <v>0</v>
      </c>
      <c r="F52" s="30">
        <f>if( Actuals!$A51=1,0,(IF(WeeklyRankPoints!F51 &gt; 10,0,(IF(WeeklyRankPoints!F51 = 0,0,VLOOKUP(WeeklyRankPoints!F51,$AA$5:$AB$14,2))*F$3)) + IF(Actuals!G51  = "",0,10)))</f>
        <v>0</v>
      </c>
      <c r="G52" s="30">
        <f>if( Actuals!$A51=1,0,(IF(WeeklyRankPoints!G51 &gt; 10,0,(IF(WeeklyRankPoints!G51 = 0,0,VLOOKUP(WeeklyRankPoints!G51,$AA$5:$AB$14,2))*G$3)) + IF(Actuals!H51  = "",0,10)))</f>
        <v>0</v>
      </c>
      <c r="H52" s="30">
        <f>if( Actuals!$A51=1,0,(IF(WeeklyRankPoints!H51 &gt; 10,0,(IF(WeeklyRankPoints!H51 = 0,0,VLOOKUP(WeeklyRankPoints!H51,$AA$5:$AB$14,2))*H$3)) + IF(Actuals!I51  = "",0,10)))</f>
        <v>0</v>
      </c>
      <c r="I52" s="30">
        <f>if( Actuals!$A51=1,0,(IF(WeeklyRankPoints!I51 &gt; 10,0,(IF(WeeklyRankPoints!I51 = 0,0,VLOOKUP(WeeklyRankPoints!I51,$AA$5:$AB$14,2))*I$3)) + IF(Actuals!J51  = "",0,10)))</f>
        <v>0</v>
      </c>
      <c r="J52" s="30">
        <f>if( Actuals!$A51=1,0,(IF(WeeklyRankPoints!J51 &gt; 10,0,(IF(WeeklyRankPoints!J51 = 0,0,VLOOKUP(WeeklyRankPoints!J51,$AA$5:$AB$14,2))*J$3)) + IF(Actuals!K51  = "",0,10)))</f>
        <v>0</v>
      </c>
      <c r="K52" s="30">
        <f>if( Actuals!$A51=1,0,(IF(WeeklyRankPoints!K51 &gt; 10,0,(IF(WeeklyRankPoints!K51 = 0,0,VLOOKUP(WeeklyRankPoints!K51,$AA$5:$AB$14,2))*K$3)) + IF(Actuals!L51  = "",0,10)))</f>
        <v>0</v>
      </c>
      <c r="L52" s="30">
        <f>if( Actuals!$A51=1,0,(IF(WeeklyRankPoints!L51 &gt; 10,0,(IF(WeeklyRankPoints!L51 = 0,0,VLOOKUP(WeeklyRankPoints!L51,$AA$5:$AB$14,2))*L$3)) + IF(Actuals!M51  = "",0,10)))</f>
        <v>0</v>
      </c>
      <c r="M52" s="30">
        <f>if( Actuals!$A51=1,0,(IF(WeeklyRankPoints!M51 &gt; 10,0,(IF(WeeklyRankPoints!M51 = 0,0,VLOOKUP(WeeklyRankPoints!M51,$AA$5:$AB$14,2))*M$3)) + IF(Actuals!N51  = "",0,10)))</f>
        <v>0</v>
      </c>
      <c r="N52" s="30">
        <f>if( Actuals!$A51=1,0,(IF(WeeklyRankPoints!N51 &gt; 10,0,(IF(WeeklyRankPoints!N51 = 0,0,VLOOKUP(WeeklyRankPoints!N51,$AA$5:$AB$14,2))*N$3)) + IF(Actuals!O51  = "",0,10)))</f>
        <v>0</v>
      </c>
      <c r="O52" s="30">
        <f>if( Actuals!$A51=1,0,(IF(WeeklyRankPoints!O51 &gt; 10,0,(IF(WeeklyRankPoints!O51 = 0,0,VLOOKUP(WeeklyRankPoints!O51,$AA$5:$AB$14,2))*O$3)) + IF(Actuals!P51  = "",0,10)))</f>
        <v>0</v>
      </c>
      <c r="P52" s="30">
        <f>if( Actuals!$A51=1,0,(IF(WeeklyRankPoints!P51 &gt; 10,0,(IF(WeeklyRankPoints!P51 = 0,0,VLOOKUP(WeeklyRankPoints!P51,$AA$5:$AB$14,2))*P$3)) + IF(Actuals!Q51  = "",0,10)))</f>
        <v>0</v>
      </c>
      <c r="Q52" s="30">
        <f>if( Actuals!$A51=1,0,(IF(WeeklyRankPoints!Q51 &gt; 10,0,(IF(WeeklyRankPoints!Q51 = 0,0,VLOOKUP(WeeklyRankPoints!Q51,$AA$5:$AB$14,2))*Q$3)) + IF(Actuals!R51  = "",0,10)))</f>
        <v>0</v>
      </c>
      <c r="R52" s="32">
        <f t="shared" si="3"/>
        <v>0</v>
      </c>
      <c r="S52" s="33">
        <f t="shared" si="4"/>
        <v>17</v>
      </c>
      <c r="T52" s="30">
        <f>COUNT(Actuals!C51:R51)</f>
        <v>0</v>
      </c>
      <c r="U52" s="32">
        <f t="shared" si="5"/>
        <v>0</v>
      </c>
      <c r="V52" s="20">
        <f>WeeklyRankMoney!R51</f>
        <v>0</v>
      </c>
      <c r="W52" s="20">
        <f>WeeklyRankMoney!S51</f>
        <v>0</v>
      </c>
      <c r="X52" s="20">
        <f>WeeklyRankMoney!T51</f>
        <v>0</v>
      </c>
      <c r="Y52" s="34">
        <f>Strokes!Q51</f>
        <v>-5.1</v>
      </c>
      <c r="Z52" s="27"/>
      <c r="AA52" s="27"/>
      <c r="AB52" s="27"/>
      <c r="AC52" s="27"/>
      <c r="AD52" s="27"/>
      <c r="AE52" s="27"/>
      <c r="AF52" s="27"/>
      <c r="AG52" s="27"/>
    </row>
    <row r="53">
      <c r="A53" s="26" t="str">
        <f>Actuals!B52</f>
        <v>Amanda C</v>
      </c>
      <c r="B53" s="30">
        <f>if( Actuals!$A52=1,0,(IF(WeeklyRankPoints!B52 &gt; 10,0,(IF(WeeklyRankPoints!B52 = 0,0,VLOOKUP(WeeklyRankPoints!B52,$AA$5:$AB$14,2))*B$3)) + IF(Actuals!C52  = "",0,10)))</f>
        <v>0</v>
      </c>
      <c r="C53" s="30">
        <f>if( Actuals!$A52=1,0,(IF(WeeklyRankPoints!C52 &gt; 10,0,(IF(WeeklyRankPoints!C52 = 0,0,VLOOKUP(WeeklyRankPoints!C52,$AA$5:$AB$14,2))*C$3)) + IF(Actuals!D52  = "",0,10)))</f>
        <v>0</v>
      </c>
      <c r="D53" s="30">
        <f>if( Actuals!$A52=1,0,(IF(WeeklyRankPoints!D52 &gt; 10,0,(IF(WeeklyRankPoints!D52 = 0,0,VLOOKUP(WeeklyRankPoints!D52,$AA$5:$AB$14,2))*D$3)) + IF(Actuals!E52  = "",0,10)))</f>
        <v>0</v>
      </c>
      <c r="E53" s="30">
        <f>if( Actuals!$A52=1,0,(IF(WeeklyRankPoints!E52 &gt; 10,0,(IF(WeeklyRankPoints!E52 = 0,0,VLOOKUP(WeeklyRankPoints!E52,$AA$5:$AB$14,2))*E$3)) + IF(Actuals!F52  = "",0,10)))</f>
        <v>0</v>
      </c>
      <c r="F53" s="30">
        <f>if( Actuals!$A52=1,0,(IF(WeeklyRankPoints!F52 &gt; 10,0,(IF(WeeklyRankPoints!F52 = 0,0,VLOOKUP(WeeklyRankPoints!F52,$AA$5:$AB$14,2))*F$3)) + IF(Actuals!G52  = "",0,10)))</f>
        <v>0</v>
      </c>
      <c r="G53" s="30">
        <f>if( Actuals!$A52=1,0,(IF(WeeklyRankPoints!G52 &gt; 10,0,(IF(WeeklyRankPoints!G52 = 0,0,VLOOKUP(WeeklyRankPoints!G52,$AA$5:$AB$14,2))*G$3)) + IF(Actuals!H52  = "",0,10)))</f>
        <v>0</v>
      </c>
      <c r="H53" s="30">
        <f>if( Actuals!$A52=1,0,(IF(WeeklyRankPoints!H52 &gt; 10,0,(IF(WeeklyRankPoints!H52 = 0,0,VLOOKUP(WeeklyRankPoints!H52,$AA$5:$AB$14,2))*H$3)) + IF(Actuals!I52  = "",0,10)))</f>
        <v>0</v>
      </c>
      <c r="I53" s="30">
        <f>if( Actuals!$A52=1,0,(IF(WeeklyRankPoints!I52 &gt; 10,0,(IF(WeeklyRankPoints!I52 = 0,0,VLOOKUP(WeeklyRankPoints!I52,$AA$5:$AB$14,2))*I$3)) + IF(Actuals!J52  = "",0,10)))</f>
        <v>0</v>
      </c>
      <c r="J53" s="30">
        <f>if( Actuals!$A52=1,0,(IF(WeeklyRankPoints!J52 &gt; 10,0,(IF(WeeklyRankPoints!J52 = 0,0,VLOOKUP(WeeklyRankPoints!J52,$AA$5:$AB$14,2))*J$3)) + IF(Actuals!K52  = "",0,10)))</f>
        <v>0</v>
      </c>
      <c r="K53" s="30">
        <f>if( Actuals!$A52=1,0,(IF(WeeklyRankPoints!K52 &gt; 10,0,(IF(WeeklyRankPoints!K52 = 0,0,VLOOKUP(WeeklyRankPoints!K52,$AA$5:$AB$14,2))*K$3)) + IF(Actuals!L52  = "",0,10)))</f>
        <v>0</v>
      </c>
      <c r="L53" s="30">
        <f>if( Actuals!$A52=1,0,(IF(WeeklyRankPoints!L52 &gt; 10,0,(IF(WeeklyRankPoints!L52 = 0,0,VLOOKUP(WeeklyRankPoints!L52,$AA$5:$AB$14,2))*L$3)) + IF(Actuals!M52  = "",0,10)))</f>
        <v>0</v>
      </c>
      <c r="M53" s="30">
        <f>if( Actuals!$A52=1,0,(IF(WeeklyRankPoints!M52 &gt; 10,0,(IF(WeeklyRankPoints!M52 = 0,0,VLOOKUP(WeeklyRankPoints!M52,$AA$5:$AB$14,2))*M$3)) + IF(Actuals!N52  = "",0,10)))</f>
        <v>0</v>
      </c>
      <c r="N53" s="30">
        <f>if( Actuals!$A52=1,0,(IF(WeeklyRankPoints!N52 &gt; 10,0,(IF(WeeklyRankPoints!N52 = 0,0,VLOOKUP(WeeklyRankPoints!N52,$AA$5:$AB$14,2))*N$3)) + IF(Actuals!O52  = "",0,10)))</f>
        <v>0</v>
      </c>
      <c r="O53" s="30">
        <f>if( Actuals!$A52=1,0,(IF(WeeklyRankPoints!O52 &gt; 10,0,(IF(WeeklyRankPoints!O52 = 0,0,VLOOKUP(WeeklyRankPoints!O52,$AA$5:$AB$14,2))*O$3)) + IF(Actuals!P52  = "",0,10)))</f>
        <v>0</v>
      </c>
      <c r="P53" s="30">
        <f>if( Actuals!$A52=1,0,(IF(WeeklyRankPoints!P52 &gt; 10,0,(IF(WeeklyRankPoints!P52 = 0,0,VLOOKUP(WeeklyRankPoints!P52,$AA$5:$AB$14,2))*P$3)) + IF(Actuals!Q52  = "",0,10)))</f>
        <v>0</v>
      </c>
      <c r="Q53" s="30">
        <f>if( Actuals!$A52=1,0,(IF(WeeklyRankPoints!Q52 &gt; 10,0,(IF(WeeklyRankPoints!Q52 = 0,0,VLOOKUP(WeeklyRankPoints!Q52,$AA$5:$AB$14,2))*Q$3)) + IF(Actuals!R52  = "",0,10)))</f>
        <v>0</v>
      </c>
      <c r="R53" s="32">
        <f t="shared" si="3"/>
        <v>0</v>
      </c>
      <c r="S53" s="33">
        <f t="shared" si="4"/>
        <v>17</v>
      </c>
      <c r="T53" s="30">
        <f>COUNT(Actuals!C52:R52)</f>
        <v>0</v>
      </c>
      <c r="U53" s="32">
        <f t="shared" si="5"/>
        <v>0</v>
      </c>
      <c r="V53" s="20">
        <f>WeeklyRankMoney!R52</f>
        <v>0</v>
      </c>
      <c r="W53" s="20">
        <f>WeeklyRankMoney!S52</f>
        <v>0</v>
      </c>
      <c r="X53" s="20">
        <f>WeeklyRankMoney!T52</f>
        <v>0</v>
      </c>
      <c r="Y53" s="34">
        <f>Strokes!Q52</f>
        <v>-7.5</v>
      </c>
      <c r="Z53" s="27"/>
      <c r="AA53" s="27"/>
      <c r="AB53" s="27"/>
      <c r="AC53" s="27"/>
      <c r="AD53" s="27"/>
      <c r="AE53" s="27"/>
      <c r="AF53" s="27"/>
      <c r="AG53" s="27"/>
    </row>
    <row r="54">
      <c r="A54" s="26" t="str">
        <f>Actuals!B53</f>
        <v>blank9</v>
      </c>
      <c r="B54" s="30">
        <f>if( Actuals!$A53=1,0,(IF(WeeklyRankPoints!B53 &gt; 10,0,(IF(WeeklyRankPoints!B53 = 0,0,VLOOKUP(WeeklyRankPoints!B53,$AA$5:$AB$14,2))*B$3)) + IF(Actuals!C53  = "",0,10)))</f>
        <v>0</v>
      </c>
      <c r="C54" s="30">
        <f>if( Actuals!$A53=1,0,(IF(WeeklyRankPoints!C53 &gt; 10,0,(IF(WeeklyRankPoints!C53 = 0,0,VLOOKUP(WeeklyRankPoints!C53,$AA$5:$AB$14,2))*C$3)) + IF(Actuals!D53  = "",0,10)))</f>
        <v>0</v>
      </c>
      <c r="D54" s="30">
        <f>if( Actuals!$A53=1,0,(IF(WeeklyRankPoints!D53 &gt; 10,0,(IF(WeeklyRankPoints!D53 = 0,0,VLOOKUP(WeeklyRankPoints!D53,$AA$5:$AB$14,2))*D$3)) + IF(Actuals!E53  = "",0,10)))</f>
        <v>0</v>
      </c>
      <c r="E54" s="30">
        <f>if( Actuals!$A53=1,0,(IF(WeeklyRankPoints!E53 &gt; 10,0,(IF(WeeklyRankPoints!E53 = 0,0,VLOOKUP(WeeklyRankPoints!E53,$AA$5:$AB$14,2))*E$3)) + IF(Actuals!F53  = "",0,10)))</f>
        <v>0</v>
      </c>
      <c r="F54" s="30">
        <f>if( Actuals!$A53=1,0,(IF(WeeklyRankPoints!F53 &gt; 10,0,(IF(WeeklyRankPoints!F53 = 0,0,VLOOKUP(WeeklyRankPoints!F53,$AA$5:$AB$14,2))*F$3)) + IF(Actuals!G53  = "",0,10)))</f>
        <v>0</v>
      </c>
      <c r="G54" s="30">
        <f>if( Actuals!$A53=1,0,(IF(WeeklyRankPoints!G53 &gt; 10,0,(IF(WeeklyRankPoints!G53 = 0,0,VLOOKUP(WeeklyRankPoints!G53,$AA$5:$AB$14,2))*G$3)) + IF(Actuals!H53  = "",0,10)))</f>
        <v>0</v>
      </c>
      <c r="H54" s="30">
        <f>if( Actuals!$A53=1,0,(IF(WeeklyRankPoints!H53 &gt; 10,0,(IF(WeeklyRankPoints!H53 = 0,0,VLOOKUP(WeeklyRankPoints!H53,$AA$5:$AB$14,2))*H$3)) + IF(Actuals!I53  = "",0,10)))</f>
        <v>0</v>
      </c>
      <c r="I54" s="30">
        <f>if( Actuals!$A53=1,0,(IF(WeeklyRankPoints!I53 &gt; 10,0,(IF(WeeklyRankPoints!I53 = 0,0,VLOOKUP(WeeklyRankPoints!I53,$AA$5:$AB$14,2))*I$3)) + IF(Actuals!J53  = "",0,10)))</f>
        <v>0</v>
      </c>
      <c r="J54" s="30">
        <f>if( Actuals!$A53=1,0,(IF(WeeklyRankPoints!J53 &gt; 10,0,(IF(WeeklyRankPoints!J53 = 0,0,VLOOKUP(WeeklyRankPoints!J53,$AA$5:$AB$14,2))*J$3)) + IF(Actuals!K53  = "",0,10)))</f>
        <v>0</v>
      </c>
      <c r="K54" s="30">
        <f>if( Actuals!$A53=1,0,(IF(WeeklyRankPoints!K53 &gt; 10,0,(IF(WeeklyRankPoints!K53 = 0,0,VLOOKUP(WeeklyRankPoints!K53,$AA$5:$AB$14,2))*K$3)) + IF(Actuals!L53  = "",0,10)))</f>
        <v>0</v>
      </c>
      <c r="L54" s="30">
        <f>if( Actuals!$A53=1,0,(IF(WeeklyRankPoints!L53 &gt; 10,0,(IF(WeeklyRankPoints!L53 = 0,0,VLOOKUP(WeeklyRankPoints!L53,$AA$5:$AB$14,2))*L$3)) + IF(Actuals!M53  = "",0,10)))</f>
        <v>0</v>
      </c>
      <c r="M54" s="30">
        <f>if( Actuals!$A53=1,0,(IF(WeeklyRankPoints!M53 &gt; 10,0,(IF(WeeklyRankPoints!M53 = 0,0,VLOOKUP(WeeklyRankPoints!M53,$AA$5:$AB$14,2))*M$3)) + IF(Actuals!N53  = "",0,10)))</f>
        <v>0</v>
      </c>
      <c r="N54" s="30">
        <f>if( Actuals!$A53=1,0,(IF(WeeklyRankPoints!N53 &gt; 10,0,(IF(WeeklyRankPoints!N53 = 0,0,VLOOKUP(WeeklyRankPoints!N53,$AA$5:$AB$14,2))*N$3)) + IF(Actuals!O53  = "",0,10)))</f>
        <v>0</v>
      </c>
      <c r="O54" s="30">
        <f>if( Actuals!$A53=1,0,(IF(WeeklyRankPoints!O53 &gt; 10,0,(IF(WeeklyRankPoints!O53 = 0,0,VLOOKUP(WeeklyRankPoints!O53,$AA$5:$AB$14,2))*O$3)) + IF(Actuals!P53  = "",0,10)))</f>
        <v>0</v>
      </c>
      <c r="P54" s="30">
        <f>if( Actuals!$A53=1,0,(IF(WeeklyRankPoints!P53 &gt; 10,0,(IF(WeeklyRankPoints!P53 = 0,0,VLOOKUP(WeeklyRankPoints!P53,$AA$5:$AB$14,2))*P$3)) + IF(Actuals!Q53  = "",0,10)))</f>
        <v>0</v>
      </c>
      <c r="Q54" s="30">
        <f>if( Actuals!$A53=1,0,(IF(WeeklyRankPoints!Q53 &gt; 10,0,(IF(WeeklyRankPoints!Q53 = 0,0,VLOOKUP(WeeklyRankPoints!Q53,$AA$5:$AB$14,2))*Q$3)) + IF(Actuals!R53  = "",0,10)))</f>
        <v>0</v>
      </c>
      <c r="R54" s="32">
        <f t="shared" si="3"/>
        <v>0</v>
      </c>
      <c r="S54" s="33">
        <f t="shared" si="4"/>
        <v>17</v>
      </c>
      <c r="T54" s="30">
        <f>COUNT(Actuals!C53:R53)</f>
        <v>0</v>
      </c>
      <c r="U54" s="32">
        <f t="shared" si="5"/>
        <v>0</v>
      </c>
      <c r="V54" s="20">
        <f>WeeklyRankMoney!R53</f>
        <v>0</v>
      </c>
      <c r="W54" s="20">
        <f>WeeklyRankMoney!S53</f>
        <v>0</v>
      </c>
      <c r="X54" s="20">
        <f>WeeklyRankMoney!T53</f>
        <v>0</v>
      </c>
      <c r="Y54" s="34">
        <f>Strokes!Q53</f>
        <v>0</v>
      </c>
      <c r="Z54" s="27"/>
      <c r="AA54" s="27"/>
      <c r="AB54" s="27"/>
      <c r="AC54" s="27"/>
      <c r="AD54" s="27"/>
      <c r="AE54" s="27"/>
      <c r="AF54" s="27"/>
      <c r="AG54" s="27"/>
    </row>
    <row r="55">
      <c r="A55" s="26" t="str">
        <f>Actuals!B54</f>
        <v>blank10</v>
      </c>
      <c r="B55" s="30">
        <f>if( Actuals!$A54=1,0,(IF(WeeklyRankPoints!B54 &gt; 10,0,(IF(WeeklyRankPoints!B54 = 0,0,VLOOKUP(WeeklyRankPoints!B54,$AA$5:$AB$14,2))*B$3)) + IF(Actuals!C54  = "",0,10)))</f>
        <v>0</v>
      </c>
      <c r="C55" s="30">
        <f>if( Actuals!$A54=1,0,(IF(WeeklyRankPoints!C54 &gt; 10,0,(IF(WeeklyRankPoints!C54 = 0,0,VLOOKUP(WeeklyRankPoints!C54,$AA$5:$AB$14,2))*C$3)) + IF(Actuals!D54  = "",0,10)))</f>
        <v>0</v>
      </c>
      <c r="D55" s="30">
        <f>if( Actuals!$A54=1,0,(IF(WeeklyRankPoints!D54 &gt; 10,0,(IF(WeeklyRankPoints!D54 = 0,0,VLOOKUP(WeeklyRankPoints!D54,$AA$5:$AB$14,2))*D$3)) + IF(Actuals!E54  = "",0,10)))</f>
        <v>0</v>
      </c>
      <c r="E55" s="30">
        <f>if( Actuals!$A54=1,0,(IF(WeeklyRankPoints!E54 &gt; 10,0,(IF(WeeklyRankPoints!E54 = 0,0,VLOOKUP(WeeklyRankPoints!E54,$AA$5:$AB$14,2))*E$3)) + IF(Actuals!F54  = "",0,10)))</f>
        <v>0</v>
      </c>
      <c r="F55" s="30">
        <f>if( Actuals!$A54=1,0,(IF(WeeklyRankPoints!F54 &gt; 10,0,(IF(WeeklyRankPoints!F54 = 0,0,VLOOKUP(WeeklyRankPoints!F54,$AA$5:$AB$14,2))*F$3)) + IF(Actuals!G54  = "",0,10)))</f>
        <v>0</v>
      </c>
      <c r="G55" s="30">
        <f>if( Actuals!$A54=1,0,(IF(WeeklyRankPoints!G54 &gt; 10,0,(IF(WeeklyRankPoints!G54 = 0,0,VLOOKUP(WeeklyRankPoints!G54,$AA$5:$AB$14,2))*G$3)) + IF(Actuals!H54  = "",0,10)))</f>
        <v>0</v>
      </c>
      <c r="H55" s="30">
        <f>if( Actuals!$A54=1,0,(IF(WeeklyRankPoints!H54 &gt; 10,0,(IF(WeeklyRankPoints!H54 = 0,0,VLOOKUP(WeeklyRankPoints!H54,$AA$5:$AB$14,2))*H$3)) + IF(Actuals!I54  = "",0,10)))</f>
        <v>0</v>
      </c>
      <c r="I55" s="30">
        <f>if( Actuals!$A54=1,0,(IF(WeeklyRankPoints!I54 &gt; 10,0,(IF(WeeklyRankPoints!I54 = 0,0,VLOOKUP(WeeklyRankPoints!I54,$AA$5:$AB$14,2))*I$3)) + IF(Actuals!J54  = "",0,10)))</f>
        <v>0</v>
      </c>
      <c r="J55" s="30">
        <f>if( Actuals!$A54=1,0,(IF(WeeklyRankPoints!J54 &gt; 10,0,(IF(WeeklyRankPoints!J54 = 0,0,VLOOKUP(WeeklyRankPoints!J54,$AA$5:$AB$14,2))*J$3)) + IF(Actuals!K54  = "",0,10)))</f>
        <v>0</v>
      </c>
      <c r="K55" s="30">
        <f>if( Actuals!$A54=1,0,(IF(WeeklyRankPoints!K54 &gt; 10,0,(IF(WeeklyRankPoints!K54 = 0,0,VLOOKUP(WeeklyRankPoints!K54,$AA$5:$AB$14,2))*K$3)) + IF(Actuals!L54  = "",0,10)))</f>
        <v>0</v>
      </c>
      <c r="L55" s="30">
        <f>if( Actuals!$A54=1,0,(IF(WeeklyRankPoints!L54 &gt; 10,0,(IF(WeeklyRankPoints!L54 = 0,0,VLOOKUP(WeeklyRankPoints!L54,$AA$5:$AB$14,2))*L$3)) + IF(Actuals!M54  = "",0,10)))</f>
        <v>0</v>
      </c>
      <c r="M55" s="30">
        <f>if( Actuals!$A54=1,0,(IF(WeeklyRankPoints!M54 &gt; 10,0,(IF(WeeklyRankPoints!M54 = 0,0,VLOOKUP(WeeklyRankPoints!M54,$AA$5:$AB$14,2))*M$3)) + IF(Actuals!N54  = "",0,10)))</f>
        <v>0</v>
      </c>
      <c r="N55" s="30">
        <f>if( Actuals!$A54=1,0,(IF(WeeklyRankPoints!N54 &gt; 10,0,(IF(WeeklyRankPoints!N54 = 0,0,VLOOKUP(WeeklyRankPoints!N54,$AA$5:$AB$14,2))*N$3)) + IF(Actuals!O54  = "",0,10)))</f>
        <v>0</v>
      </c>
      <c r="O55" s="30">
        <f>if( Actuals!$A54=1,0,(IF(WeeklyRankPoints!O54 &gt; 10,0,(IF(WeeklyRankPoints!O54 = 0,0,VLOOKUP(WeeklyRankPoints!O54,$AA$5:$AB$14,2))*O$3)) + IF(Actuals!P54  = "",0,10)))</f>
        <v>0</v>
      </c>
      <c r="P55" s="30">
        <f>if( Actuals!$A54=1,0,(IF(WeeklyRankPoints!P54 &gt; 10,0,(IF(WeeklyRankPoints!P54 = 0,0,VLOOKUP(WeeklyRankPoints!P54,$AA$5:$AB$14,2))*P$3)) + IF(Actuals!Q54  = "",0,10)))</f>
        <v>0</v>
      </c>
      <c r="Q55" s="30">
        <f>if( Actuals!$A54=1,0,(IF(WeeklyRankPoints!Q54 &gt; 10,0,(IF(WeeklyRankPoints!Q54 = 0,0,VLOOKUP(WeeklyRankPoints!Q54,$AA$5:$AB$14,2))*Q$3)) + IF(Actuals!R54  = "",0,10)))</f>
        <v>0</v>
      </c>
      <c r="R55" s="32">
        <f t="shared" si="3"/>
        <v>0</v>
      </c>
      <c r="S55" s="33">
        <f t="shared" si="4"/>
        <v>17</v>
      </c>
      <c r="T55" s="30">
        <f>COUNT(Actuals!C54:R54)</f>
        <v>0</v>
      </c>
      <c r="U55" s="32">
        <f t="shared" si="5"/>
        <v>0</v>
      </c>
      <c r="V55" s="20">
        <f>WeeklyRankMoney!R54</f>
        <v>0</v>
      </c>
      <c r="W55" s="20">
        <f>WeeklyRankMoney!S54</f>
        <v>0</v>
      </c>
      <c r="X55" s="20">
        <f>WeeklyRankMoney!T54</f>
        <v>0</v>
      </c>
      <c r="Y55" s="34">
        <f>Strokes!Q54</f>
        <v>0</v>
      </c>
      <c r="Z55" s="27"/>
      <c r="AA55" s="27"/>
      <c r="AB55" s="27"/>
      <c r="AC55" s="27"/>
      <c r="AD55" s="27"/>
      <c r="AE55" s="27"/>
      <c r="AF55" s="27"/>
      <c r="AG55" s="27"/>
    </row>
    <row r="56">
      <c r="A56" s="26" t="str">
        <f>Actuals!B55</f>
        <v>blank11</v>
      </c>
      <c r="B56" s="30">
        <f>if( Actuals!$A55=1,0,(IF(WeeklyRankPoints!B55 &gt; 10,0,(IF(WeeklyRankPoints!B55 = 0,0,VLOOKUP(WeeklyRankPoints!B55,$AA$5:$AB$14,2))*B$3)) + IF(Actuals!C55  = "",0,10)))</f>
        <v>0</v>
      </c>
      <c r="C56" s="30">
        <f>if( Actuals!$A55=1,0,(IF(WeeklyRankPoints!C55 &gt; 10,0,(IF(WeeklyRankPoints!C55 = 0,0,VLOOKUP(WeeklyRankPoints!C55,$AA$5:$AB$14,2))*C$3)) + IF(Actuals!D55  = "",0,10)))</f>
        <v>0</v>
      </c>
      <c r="D56" s="30">
        <f>if( Actuals!$A55=1,0,(IF(WeeklyRankPoints!D55 &gt; 10,0,(IF(WeeklyRankPoints!D55 = 0,0,VLOOKUP(WeeklyRankPoints!D55,$AA$5:$AB$14,2))*D$3)) + IF(Actuals!E55  = "",0,10)))</f>
        <v>0</v>
      </c>
      <c r="E56" s="30">
        <f>if( Actuals!$A55=1,0,(IF(WeeklyRankPoints!E55 &gt; 10,0,(IF(WeeklyRankPoints!E55 = 0,0,VLOOKUP(WeeklyRankPoints!E55,$AA$5:$AB$14,2))*E$3)) + IF(Actuals!F55  = "",0,10)))</f>
        <v>0</v>
      </c>
      <c r="F56" s="30">
        <f>if( Actuals!$A55=1,0,(IF(WeeklyRankPoints!F55 &gt; 10,0,(IF(WeeklyRankPoints!F55 = 0,0,VLOOKUP(WeeklyRankPoints!F55,$AA$5:$AB$14,2))*F$3)) + IF(Actuals!G55  = "",0,10)))</f>
        <v>0</v>
      </c>
      <c r="G56" s="30">
        <f>if( Actuals!$A55=1,0,(IF(WeeklyRankPoints!G55 &gt; 10,0,(IF(WeeklyRankPoints!G55 = 0,0,VLOOKUP(WeeklyRankPoints!G55,$AA$5:$AB$14,2))*G$3)) + IF(Actuals!H55  = "",0,10)))</f>
        <v>0</v>
      </c>
      <c r="H56" s="30">
        <f>if( Actuals!$A55=1,0,(IF(WeeklyRankPoints!H55 &gt; 10,0,(IF(WeeklyRankPoints!H55 = 0,0,VLOOKUP(WeeklyRankPoints!H55,$AA$5:$AB$14,2))*H$3)) + IF(Actuals!I55  = "",0,10)))</f>
        <v>0</v>
      </c>
      <c r="I56" s="30">
        <f>if( Actuals!$A55=1,0,(IF(WeeklyRankPoints!I55 &gt; 10,0,(IF(WeeklyRankPoints!I55 = 0,0,VLOOKUP(WeeklyRankPoints!I55,$AA$5:$AB$14,2))*I$3)) + IF(Actuals!J55  = "",0,10)))</f>
        <v>0</v>
      </c>
      <c r="J56" s="30">
        <f>if( Actuals!$A55=1,0,(IF(WeeklyRankPoints!J55 &gt; 10,0,(IF(WeeklyRankPoints!J55 = 0,0,VLOOKUP(WeeklyRankPoints!J55,$AA$5:$AB$14,2))*J$3)) + IF(Actuals!K55  = "",0,10)))</f>
        <v>0</v>
      </c>
      <c r="K56" s="30">
        <f>if( Actuals!$A55=1,0,(IF(WeeklyRankPoints!K55 &gt; 10,0,(IF(WeeklyRankPoints!K55 = 0,0,VLOOKUP(WeeklyRankPoints!K55,$AA$5:$AB$14,2))*K$3)) + IF(Actuals!L55  = "",0,10)))</f>
        <v>0</v>
      </c>
      <c r="L56" s="30">
        <f>if( Actuals!$A55=1,0,(IF(WeeklyRankPoints!L55 &gt; 10,0,(IF(WeeklyRankPoints!L55 = 0,0,VLOOKUP(WeeklyRankPoints!L55,$AA$5:$AB$14,2))*L$3)) + IF(Actuals!M55  = "",0,10)))</f>
        <v>0</v>
      </c>
      <c r="M56" s="30">
        <f>if( Actuals!$A55=1,0,(IF(WeeklyRankPoints!M55 &gt; 10,0,(IF(WeeklyRankPoints!M55 = 0,0,VLOOKUP(WeeklyRankPoints!M55,$AA$5:$AB$14,2))*M$3)) + IF(Actuals!N55  = "",0,10)))</f>
        <v>0</v>
      </c>
      <c r="N56" s="30">
        <f>if( Actuals!$A55=1,0,(IF(WeeklyRankPoints!N55 &gt; 10,0,(IF(WeeklyRankPoints!N55 = 0,0,VLOOKUP(WeeklyRankPoints!N55,$AA$5:$AB$14,2))*N$3)) + IF(Actuals!O55  = "",0,10)))</f>
        <v>0</v>
      </c>
      <c r="O56" s="30">
        <f>if( Actuals!$A55=1,0,(IF(WeeklyRankPoints!O55 &gt; 10,0,(IF(WeeklyRankPoints!O55 = 0,0,VLOOKUP(WeeklyRankPoints!O55,$AA$5:$AB$14,2))*O$3)) + IF(Actuals!P55  = "",0,10)))</f>
        <v>0</v>
      </c>
      <c r="P56" s="30">
        <f>if( Actuals!$A55=1,0,(IF(WeeklyRankPoints!P55 &gt; 10,0,(IF(WeeklyRankPoints!P55 = 0,0,VLOOKUP(WeeklyRankPoints!P55,$AA$5:$AB$14,2))*P$3)) + IF(Actuals!Q55  = "",0,10)))</f>
        <v>0</v>
      </c>
      <c r="Q56" s="30">
        <f>if( Actuals!$A55=1,0,(IF(WeeklyRankPoints!Q55 &gt; 10,0,(IF(WeeklyRankPoints!Q55 = 0,0,VLOOKUP(WeeklyRankPoints!Q55,$AA$5:$AB$14,2))*Q$3)) + IF(Actuals!R55  = "",0,10)))</f>
        <v>0</v>
      </c>
      <c r="R56" s="32">
        <f t="shared" si="3"/>
        <v>0</v>
      </c>
      <c r="S56" s="33">
        <f t="shared" si="4"/>
        <v>17</v>
      </c>
      <c r="T56" s="30">
        <f>COUNT(Actuals!C55:R55)</f>
        <v>0</v>
      </c>
      <c r="U56" s="32">
        <f t="shared" si="5"/>
        <v>0</v>
      </c>
      <c r="V56" s="20">
        <f>WeeklyRankMoney!R55</f>
        <v>0</v>
      </c>
      <c r="W56" s="20">
        <f>WeeklyRankMoney!S55</f>
        <v>0</v>
      </c>
      <c r="X56" s="20">
        <f>WeeklyRankMoney!T55</f>
        <v>0</v>
      </c>
      <c r="Y56" s="34">
        <f>Strokes!Q55</f>
        <v>0</v>
      </c>
      <c r="Z56" s="27"/>
      <c r="AA56" s="27"/>
      <c r="AB56" s="27"/>
      <c r="AC56" s="27"/>
      <c r="AD56" s="27"/>
      <c r="AE56" s="27"/>
      <c r="AF56" s="27"/>
      <c r="AG56" s="27"/>
    </row>
    <row r="57">
      <c r="A57" s="26" t="str">
        <f>Actuals!B56</f>
        <v>blank12</v>
      </c>
      <c r="B57" s="30">
        <f>if( Actuals!$A56=1,0,(IF(WeeklyRankPoints!B56 &gt; 10,0,(IF(WeeklyRankPoints!B56 = 0,0,VLOOKUP(WeeklyRankPoints!B56,$AA$5:$AB$14,2))*B$3)) + IF(Actuals!C56  = "",0,10)))</f>
        <v>0</v>
      </c>
      <c r="C57" s="30">
        <f>if( Actuals!$A56=1,0,(IF(WeeklyRankPoints!C56 &gt; 10,0,(IF(WeeklyRankPoints!C56 = 0,0,VLOOKUP(WeeklyRankPoints!C56,$AA$5:$AB$14,2))*C$3)) + IF(Actuals!D56  = "",0,10)))</f>
        <v>0</v>
      </c>
      <c r="D57" s="30">
        <f>if( Actuals!$A56=1,0,(IF(WeeklyRankPoints!D56 &gt; 10,0,(IF(WeeklyRankPoints!D56 = 0,0,VLOOKUP(WeeklyRankPoints!D56,$AA$5:$AB$14,2))*D$3)) + IF(Actuals!E56  = "",0,10)))</f>
        <v>0</v>
      </c>
      <c r="E57" s="30">
        <f>if( Actuals!$A56=1,0,(IF(WeeklyRankPoints!E56 &gt; 10,0,(IF(WeeklyRankPoints!E56 = 0,0,VLOOKUP(WeeklyRankPoints!E56,$AA$5:$AB$14,2))*E$3)) + IF(Actuals!F56  = "",0,10)))</f>
        <v>0</v>
      </c>
      <c r="F57" s="30">
        <f>if( Actuals!$A56=1,0,(IF(WeeklyRankPoints!F56 &gt; 10,0,(IF(WeeklyRankPoints!F56 = 0,0,VLOOKUP(WeeklyRankPoints!F56,$AA$5:$AB$14,2))*F$3)) + IF(Actuals!G56  = "",0,10)))</f>
        <v>0</v>
      </c>
      <c r="G57" s="30">
        <f>if( Actuals!$A56=1,0,(IF(WeeklyRankPoints!G56 &gt; 10,0,(IF(WeeklyRankPoints!G56 = 0,0,VLOOKUP(WeeklyRankPoints!G56,$AA$5:$AB$14,2))*G$3)) + IF(Actuals!H56  = "",0,10)))</f>
        <v>0</v>
      </c>
      <c r="H57" s="30">
        <f>if( Actuals!$A56=1,0,(IF(WeeklyRankPoints!H56 &gt; 10,0,(IF(WeeklyRankPoints!H56 = 0,0,VLOOKUP(WeeklyRankPoints!H56,$AA$5:$AB$14,2))*H$3)) + IF(Actuals!I56  = "",0,10)))</f>
        <v>0</v>
      </c>
      <c r="I57" s="30">
        <f>if( Actuals!$A56=1,0,(IF(WeeklyRankPoints!I56 &gt; 10,0,(IF(WeeklyRankPoints!I56 = 0,0,VLOOKUP(WeeklyRankPoints!I56,$AA$5:$AB$14,2))*I$3)) + IF(Actuals!J56  = "",0,10)))</f>
        <v>0</v>
      </c>
      <c r="J57" s="30">
        <f>if( Actuals!$A56=1,0,(IF(WeeklyRankPoints!J56 &gt; 10,0,(IF(WeeklyRankPoints!J56 = 0,0,VLOOKUP(WeeklyRankPoints!J56,$AA$5:$AB$14,2))*J$3)) + IF(Actuals!K56  = "",0,10)))</f>
        <v>0</v>
      </c>
      <c r="K57" s="30">
        <f>if( Actuals!$A56=1,0,(IF(WeeklyRankPoints!K56 &gt; 10,0,(IF(WeeklyRankPoints!K56 = 0,0,VLOOKUP(WeeklyRankPoints!K56,$AA$5:$AB$14,2))*K$3)) + IF(Actuals!L56  = "",0,10)))</f>
        <v>0</v>
      </c>
      <c r="L57" s="30">
        <f>if( Actuals!$A56=1,0,(IF(WeeklyRankPoints!L56 &gt; 10,0,(IF(WeeklyRankPoints!L56 = 0,0,VLOOKUP(WeeklyRankPoints!L56,$AA$5:$AB$14,2))*L$3)) + IF(Actuals!M56  = "",0,10)))</f>
        <v>0</v>
      </c>
      <c r="M57" s="30">
        <f>if( Actuals!$A56=1,0,(IF(WeeklyRankPoints!M56 &gt; 10,0,(IF(WeeklyRankPoints!M56 = 0,0,VLOOKUP(WeeklyRankPoints!M56,$AA$5:$AB$14,2))*M$3)) + IF(Actuals!N56  = "",0,10)))</f>
        <v>0</v>
      </c>
      <c r="N57" s="30">
        <f>if( Actuals!$A56=1,0,(IF(WeeklyRankPoints!N56 &gt; 10,0,(IF(WeeklyRankPoints!N56 = 0,0,VLOOKUP(WeeklyRankPoints!N56,$AA$5:$AB$14,2))*N$3)) + IF(Actuals!O56  = "",0,10)))</f>
        <v>0</v>
      </c>
      <c r="O57" s="30">
        <f>if( Actuals!$A56=1,0,(IF(WeeklyRankPoints!O56 &gt; 10,0,(IF(WeeklyRankPoints!O56 = 0,0,VLOOKUP(WeeklyRankPoints!O56,$AA$5:$AB$14,2))*O$3)) + IF(Actuals!P56  = "",0,10)))</f>
        <v>0</v>
      </c>
      <c r="P57" s="30">
        <f>if( Actuals!$A56=1,0,(IF(WeeklyRankPoints!P56 &gt; 10,0,(IF(WeeklyRankPoints!P56 = 0,0,VLOOKUP(WeeklyRankPoints!P56,$AA$5:$AB$14,2))*P$3)) + IF(Actuals!Q56  = "",0,10)))</f>
        <v>0</v>
      </c>
      <c r="Q57" s="30">
        <f>if( Actuals!$A56=1,0,(IF(WeeklyRankPoints!Q56 &gt; 10,0,(IF(WeeklyRankPoints!Q56 = 0,0,VLOOKUP(WeeklyRankPoints!Q56,$AA$5:$AB$14,2))*Q$3)) + IF(Actuals!R56  = "",0,10)))</f>
        <v>0</v>
      </c>
      <c r="R57" s="32">
        <f t="shared" si="3"/>
        <v>0</v>
      </c>
      <c r="S57" s="33">
        <f t="shared" si="4"/>
        <v>17</v>
      </c>
      <c r="T57" s="30">
        <f>COUNT(Actuals!C56:R56)</f>
        <v>0</v>
      </c>
      <c r="U57" s="32">
        <f t="shared" si="5"/>
        <v>0</v>
      </c>
      <c r="V57" s="20">
        <f>WeeklyRankMoney!R56</f>
        <v>0</v>
      </c>
      <c r="W57" s="20">
        <f>WeeklyRankMoney!S56</f>
        <v>0</v>
      </c>
      <c r="X57" s="20">
        <f>WeeklyRankMoney!T56</f>
        <v>0</v>
      </c>
      <c r="Y57" s="34">
        <f>Strokes!Q56</f>
        <v>0</v>
      </c>
      <c r="Z57" s="27"/>
      <c r="AA57" s="27"/>
      <c r="AB57" s="27"/>
      <c r="AC57" s="27"/>
      <c r="AD57" s="27"/>
      <c r="AE57" s="27"/>
      <c r="AF57" s="27"/>
      <c r="AG57" s="27"/>
    </row>
    <row r="58">
      <c r="A58" s="26" t="str">
        <f>Actuals!B57</f>
        <v>blank13</v>
      </c>
      <c r="B58" s="30">
        <f>if( Actuals!$A57=1,0,(IF(WeeklyRankPoints!B57 &gt; 10,0,(IF(WeeklyRankPoints!B57 = 0,0,VLOOKUP(WeeklyRankPoints!B57,$AA$5:$AB$14,2))*B$3)) + IF(Actuals!C57  = "",0,10)))</f>
        <v>0</v>
      </c>
      <c r="C58" s="30">
        <f>if( Actuals!$A57=1,0,(IF(WeeklyRankPoints!C57 &gt; 10,0,(IF(WeeklyRankPoints!C57 = 0,0,VLOOKUP(WeeklyRankPoints!C57,$AA$5:$AB$14,2))*C$3)) + IF(Actuals!D57  = "",0,10)))</f>
        <v>0</v>
      </c>
      <c r="D58" s="30">
        <f>if( Actuals!$A57=1,0,(IF(WeeklyRankPoints!D57 &gt; 10,0,(IF(WeeklyRankPoints!D57 = 0,0,VLOOKUP(WeeklyRankPoints!D57,$AA$5:$AB$14,2))*D$3)) + IF(Actuals!E57  = "",0,10)))</f>
        <v>0</v>
      </c>
      <c r="E58" s="30">
        <f>if( Actuals!$A57=1,0,(IF(WeeklyRankPoints!E57 &gt; 10,0,(IF(WeeklyRankPoints!E57 = 0,0,VLOOKUP(WeeklyRankPoints!E57,$AA$5:$AB$14,2))*E$3)) + IF(Actuals!F57  = "",0,10)))</f>
        <v>0</v>
      </c>
      <c r="F58" s="30">
        <f>if( Actuals!$A57=1,0,(IF(WeeklyRankPoints!F57 &gt; 10,0,(IF(WeeklyRankPoints!F57 = 0,0,VLOOKUP(WeeklyRankPoints!F57,$AA$5:$AB$14,2))*F$3)) + IF(Actuals!G57  = "",0,10)))</f>
        <v>0</v>
      </c>
      <c r="G58" s="30">
        <f>if( Actuals!$A57=1,0,(IF(WeeklyRankPoints!G57 &gt; 10,0,(IF(WeeklyRankPoints!G57 = 0,0,VLOOKUP(WeeklyRankPoints!G57,$AA$5:$AB$14,2))*G$3)) + IF(Actuals!H57  = "",0,10)))</f>
        <v>0</v>
      </c>
      <c r="H58" s="30">
        <f>if( Actuals!$A57=1,0,(IF(WeeklyRankPoints!H57 &gt; 10,0,(IF(WeeklyRankPoints!H57 = 0,0,VLOOKUP(WeeklyRankPoints!H57,$AA$5:$AB$14,2))*H$3)) + IF(Actuals!I57  = "",0,10)))</f>
        <v>0</v>
      </c>
      <c r="I58" s="30">
        <f>if( Actuals!$A57=1,0,(IF(WeeklyRankPoints!I57 &gt; 10,0,(IF(WeeklyRankPoints!I57 = 0,0,VLOOKUP(WeeklyRankPoints!I57,$AA$5:$AB$14,2))*I$3)) + IF(Actuals!J57  = "",0,10)))</f>
        <v>0</v>
      </c>
      <c r="J58" s="30">
        <f>if( Actuals!$A57=1,0,(IF(WeeklyRankPoints!J57 &gt; 10,0,(IF(WeeklyRankPoints!J57 = 0,0,VLOOKUP(WeeklyRankPoints!J57,$AA$5:$AB$14,2))*J$3)) + IF(Actuals!K57  = "",0,10)))</f>
        <v>0</v>
      </c>
      <c r="K58" s="30">
        <f>if( Actuals!$A57=1,0,(IF(WeeklyRankPoints!K57 &gt; 10,0,(IF(WeeklyRankPoints!K57 = 0,0,VLOOKUP(WeeklyRankPoints!K57,$AA$5:$AB$14,2))*K$3)) + IF(Actuals!L57  = "",0,10)))</f>
        <v>0</v>
      </c>
      <c r="L58" s="30">
        <f>if( Actuals!$A57=1,0,(IF(WeeklyRankPoints!L57 &gt; 10,0,(IF(WeeklyRankPoints!L57 = 0,0,VLOOKUP(WeeklyRankPoints!L57,$AA$5:$AB$14,2))*L$3)) + IF(Actuals!M57  = "",0,10)))</f>
        <v>0</v>
      </c>
      <c r="M58" s="30">
        <f>if( Actuals!$A57=1,0,(IF(WeeklyRankPoints!M57 &gt; 10,0,(IF(WeeklyRankPoints!M57 = 0,0,VLOOKUP(WeeklyRankPoints!M57,$AA$5:$AB$14,2))*M$3)) + IF(Actuals!N57  = "",0,10)))</f>
        <v>0</v>
      </c>
      <c r="N58" s="30">
        <f>if( Actuals!$A57=1,0,(IF(WeeklyRankPoints!N57 &gt; 10,0,(IF(WeeklyRankPoints!N57 = 0,0,VLOOKUP(WeeklyRankPoints!N57,$AA$5:$AB$14,2))*N$3)) + IF(Actuals!O57  = "",0,10)))</f>
        <v>0</v>
      </c>
      <c r="O58" s="30">
        <f>if( Actuals!$A57=1,0,(IF(WeeklyRankPoints!O57 &gt; 10,0,(IF(WeeklyRankPoints!O57 = 0,0,VLOOKUP(WeeklyRankPoints!O57,$AA$5:$AB$14,2))*O$3)) + IF(Actuals!P57  = "",0,10)))</f>
        <v>0</v>
      </c>
      <c r="P58" s="30">
        <f>if( Actuals!$A57=1,0,(IF(WeeklyRankPoints!P57 &gt; 10,0,(IF(WeeklyRankPoints!P57 = 0,0,VLOOKUP(WeeklyRankPoints!P57,$AA$5:$AB$14,2))*P$3)) + IF(Actuals!Q57  = "",0,10)))</f>
        <v>0</v>
      </c>
      <c r="Q58" s="30">
        <f>if( Actuals!$A57=1,0,(IF(WeeklyRankPoints!Q57 &gt; 10,0,(IF(WeeklyRankPoints!Q57 = 0,0,VLOOKUP(WeeklyRankPoints!Q57,$AA$5:$AB$14,2))*Q$3)) + IF(Actuals!R57  = "",0,10)))</f>
        <v>0</v>
      </c>
      <c r="R58" s="32">
        <f t="shared" si="3"/>
        <v>0</v>
      </c>
      <c r="S58" s="33">
        <f t="shared" si="4"/>
        <v>17</v>
      </c>
      <c r="T58" s="30">
        <f>COUNT(Actuals!C57:R57)</f>
        <v>0</v>
      </c>
      <c r="U58" s="32">
        <f t="shared" si="5"/>
        <v>0</v>
      </c>
      <c r="V58" s="20">
        <f>WeeklyRankMoney!R57</f>
        <v>0</v>
      </c>
      <c r="W58" s="20">
        <f>WeeklyRankMoney!S57</f>
        <v>0</v>
      </c>
      <c r="X58" s="20">
        <f>WeeklyRankMoney!T57</f>
        <v>0</v>
      </c>
      <c r="Y58" s="34">
        <f>Strokes!Q57</f>
        <v>0</v>
      </c>
      <c r="Z58" s="27"/>
      <c r="AA58" s="27"/>
      <c r="AB58" s="27"/>
      <c r="AC58" s="27"/>
      <c r="AD58" s="27"/>
      <c r="AE58" s="27"/>
      <c r="AF58" s="27"/>
      <c r="AG58" s="27"/>
    </row>
    <row r="59">
      <c r="A59" s="26" t="str">
        <f>Actuals!B58</f>
        <v>blank14</v>
      </c>
      <c r="B59" s="30">
        <f>if( Actuals!$A58=1,0,(IF(WeeklyRankPoints!B58 &gt; 10,0,(IF(WeeklyRankPoints!B58 = 0,0,VLOOKUP(WeeklyRankPoints!B58,$AA$5:$AB$14,2))*B$3)) + IF(Actuals!C58  = "",0,10)))</f>
        <v>0</v>
      </c>
      <c r="C59" s="30">
        <f>if( Actuals!$A58=1,0,(IF(WeeklyRankPoints!C58 &gt; 10,0,(IF(WeeklyRankPoints!C58 = 0,0,VLOOKUP(WeeklyRankPoints!C58,$AA$5:$AB$14,2))*C$3)) + IF(Actuals!D58  = "",0,10)))</f>
        <v>0</v>
      </c>
      <c r="D59" s="30">
        <f>if( Actuals!$A58=1,0,(IF(WeeklyRankPoints!D58 &gt; 10,0,(IF(WeeklyRankPoints!D58 = 0,0,VLOOKUP(WeeklyRankPoints!D58,$AA$5:$AB$14,2))*D$3)) + IF(Actuals!E58  = "",0,10)))</f>
        <v>0</v>
      </c>
      <c r="E59" s="30">
        <f>if( Actuals!$A58=1,0,(IF(WeeklyRankPoints!E58 &gt; 10,0,(IF(WeeklyRankPoints!E58 = 0,0,VLOOKUP(WeeklyRankPoints!E58,$AA$5:$AB$14,2))*E$3)) + IF(Actuals!F58  = "",0,10)))</f>
        <v>0</v>
      </c>
      <c r="F59" s="30">
        <f>if( Actuals!$A58=1,0,(IF(WeeklyRankPoints!F58 &gt; 10,0,(IF(WeeklyRankPoints!F58 = 0,0,VLOOKUP(WeeklyRankPoints!F58,$AA$5:$AB$14,2))*F$3)) + IF(Actuals!G58  = "",0,10)))</f>
        <v>0</v>
      </c>
      <c r="G59" s="30">
        <f>if( Actuals!$A58=1,0,(IF(WeeklyRankPoints!G58 &gt; 10,0,(IF(WeeklyRankPoints!G58 = 0,0,VLOOKUP(WeeklyRankPoints!G58,$AA$5:$AB$14,2))*G$3)) + IF(Actuals!H58  = "",0,10)))</f>
        <v>0</v>
      </c>
      <c r="H59" s="30">
        <f>if( Actuals!$A58=1,0,(IF(WeeklyRankPoints!H58 &gt; 10,0,(IF(WeeklyRankPoints!H58 = 0,0,VLOOKUP(WeeklyRankPoints!H58,$AA$5:$AB$14,2))*H$3)) + IF(Actuals!I58  = "",0,10)))</f>
        <v>0</v>
      </c>
      <c r="I59" s="30">
        <f>if( Actuals!$A58=1,0,(IF(WeeklyRankPoints!I58 &gt; 10,0,(IF(WeeklyRankPoints!I58 = 0,0,VLOOKUP(WeeklyRankPoints!I58,$AA$5:$AB$14,2))*I$3)) + IF(Actuals!J58  = "",0,10)))</f>
        <v>0</v>
      </c>
      <c r="J59" s="30">
        <f>if( Actuals!$A58=1,0,(IF(WeeklyRankPoints!J58 &gt; 10,0,(IF(WeeklyRankPoints!J58 = 0,0,VLOOKUP(WeeklyRankPoints!J58,$AA$5:$AB$14,2))*J$3)) + IF(Actuals!K58  = "",0,10)))</f>
        <v>0</v>
      </c>
      <c r="K59" s="30">
        <f>if( Actuals!$A58=1,0,(IF(WeeklyRankPoints!K58 &gt; 10,0,(IF(WeeklyRankPoints!K58 = 0,0,VLOOKUP(WeeklyRankPoints!K58,$AA$5:$AB$14,2))*K$3)) + IF(Actuals!L58  = "",0,10)))</f>
        <v>0</v>
      </c>
      <c r="L59" s="30">
        <f>if( Actuals!$A58=1,0,(IF(WeeklyRankPoints!L58 &gt; 10,0,(IF(WeeklyRankPoints!L58 = 0,0,VLOOKUP(WeeklyRankPoints!L58,$AA$5:$AB$14,2))*L$3)) + IF(Actuals!M58  = "",0,10)))</f>
        <v>0</v>
      </c>
      <c r="M59" s="30">
        <f>if( Actuals!$A58=1,0,(IF(WeeklyRankPoints!M58 &gt; 10,0,(IF(WeeklyRankPoints!M58 = 0,0,VLOOKUP(WeeklyRankPoints!M58,$AA$5:$AB$14,2))*M$3)) + IF(Actuals!N58  = "",0,10)))</f>
        <v>0</v>
      </c>
      <c r="N59" s="30">
        <f>if( Actuals!$A58=1,0,(IF(WeeklyRankPoints!N58 &gt; 10,0,(IF(WeeklyRankPoints!N58 = 0,0,VLOOKUP(WeeklyRankPoints!N58,$AA$5:$AB$14,2))*N$3)) + IF(Actuals!O58  = "",0,10)))</f>
        <v>0</v>
      </c>
      <c r="O59" s="30">
        <f>if( Actuals!$A58=1,0,(IF(WeeklyRankPoints!O58 &gt; 10,0,(IF(WeeklyRankPoints!O58 = 0,0,VLOOKUP(WeeklyRankPoints!O58,$AA$5:$AB$14,2))*O$3)) + IF(Actuals!P58  = "",0,10)))</f>
        <v>0</v>
      </c>
      <c r="P59" s="30">
        <f>if( Actuals!$A58=1,0,(IF(WeeklyRankPoints!P58 &gt; 10,0,(IF(WeeklyRankPoints!P58 = 0,0,VLOOKUP(WeeklyRankPoints!P58,$AA$5:$AB$14,2))*P$3)) + IF(Actuals!Q58  = "",0,10)))</f>
        <v>0</v>
      </c>
      <c r="Q59" s="30">
        <f>if( Actuals!$A58=1,0,(IF(WeeklyRankPoints!Q58 &gt; 10,0,(IF(WeeklyRankPoints!Q58 = 0,0,VLOOKUP(WeeklyRankPoints!Q58,$AA$5:$AB$14,2))*Q$3)) + IF(Actuals!R58  = "",0,10)))</f>
        <v>0</v>
      </c>
      <c r="R59" s="32">
        <f t="shared" si="3"/>
        <v>0</v>
      </c>
      <c r="S59" s="33">
        <f t="shared" si="4"/>
        <v>17</v>
      </c>
      <c r="T59" s="30">
        <f>COUNT(Actuals!C58:R58)</f>
        <v>0</v>
      </c>
      <c r="U59" s="32">
        <f t="shared" si="5"/>
        <v>0</v>
      </c>
      <c r="V59" s="20">
        <f>WeeklyRankMoney!R58</f>
        <v>0</v>
      </c>
      <c r="W59" s="20">
        <f>WeeklyRankMoney!S58</f>
        <v>0</v>
      </c>
      <c r="X59" s="20">
        <f>WeeklyRankMoney!T58</f>
        <v>0</v>
      </c>
      <c r="Y59" s="34">
        <f>Strokes!Q58</f>
        <v>0</v>
      </c>
      <c r="Z59" s="27"/>
      <c r="AA59" s="27"/>
      <c r="AB59" s="27"/>
      <c r="AC59" s="27"/>
      <c r="AD59" s="27"/>
      <c r="AE59" s="27"/>
      <c r="AF59" s="27"/>
      <c r="AG59" s="27"/>
    </row>
    <row r="60">
      <c r="A60" s="26" t="str">
        <f>Actuals!B59</f>
        <v>blank15</v>
      </c>
      <c r="B60" s="30">
        <f>if( Actuals!$A59=1,0,(IF(WeeklyRankPoints!B59 &gt; 10,0,(IF(WeeklyRankPoints!B59 = 0,0,VLOOKUP(WeeklyRankPoints!B59,$AA$5:$AB$14,2))*B$3)) + IF(Actuals!C59  = "",0,10)))</f>
        <v>0</v>
      </c>
      <c r="C60" s="30">
        <f>if( Actuals!$A59=1,0,(IF(WeeklyRankPoints!C59 &gt; 10,0,(IF(WeeklyRankPoints!C59 = 0,0,VLOOKUP(WeeklyRankPoints!C59,$AA$5:$AB$14,2))*C$3)) + IF(Actuals!D59  = "",0,10)))</f>
        <v>0</v>
      </c>
      <c r="D60" s="30">
        <f>if( Actuals!$A59=1,0,(IF(WeeklyRankPoints!D59 &gt; 10,0,(IF(WeeklyRankPoints!D59 = 0,0,VLOOKUP(WeeklyRankPoints!D59,$AA$5:$AB$14,2))*D$3)) + IF(Actuals!E59  = "",0,10)))</f>
        <v>0</v>
      </c>
      <c r="E60" s="30">
        <f>if( Actuals!$A59=1,0,(IF(WeeklyRankPoints!E59 &gt; 10,0,(IF(WeeklyRankPoints!E59 = 0,0,VLOOKUP(WeeklyRankPoints!E59,$AA$5:$AB$14,2))*E$3)) + IF(Actuals!F59  = "",0,10)))</f>
        <v>0</v>
      </c>
      <c r="F60" s="30">
        <f>if( Actuals!$A59=1,0,(IF(WeeklyRankPoints!F59 &gt; 10,0,(IF(WeeklyRankPoints!F59 = 0,0,VLOOKUP(WeeklyRankPoints!F59,$AA$5:$AB$14,2))*F$3)) + IF(Actuals!G59  = "",0,10)))</f>
        <v>0</v>
      </c>
      <c r="G60" s="30">
        <f>if( Actuals!$A59=1,0,(IF(WeeklyRankPoints!G59 &gt; 10,0,(IF(WeeklyRankPoints!G59 = 0,0,VLOOKUP(WeeklyRankPoints!G59,$AA$5:$AB$14,2))*G$3)) + IF(Actuals!H59  = "",0,10)))</f>
        <v>0</v>
      </c>
      <c r="H60" s="30">
        <f>if( Actuals!$A59=1,0,(IF(WeeklyRankPoints!H59 &gt; 10,0,(IF(WeeklyRankPoints!H59 = 0,0,VLOOKUP(WeeklyRankPoints!H59,$AA$5:$AB$14,2))*H$3)) + IF(Actuals!I59  = "",0,10)))</f>
        <v>0</v>
      </c>
      <c r="I60" s="30">
        <f>if( Actuals!$A59=1,0,(IF(WeeklyRankPoints!I59 &gt; 10,0,(IF(WeeklyRankPoints!I59 = 0,0,VLOOKUP(WeeklyRankPoints!I59,$AA$5:$AB$14,2))*I$3)) + IF(Actuals!J59  = "",0,10)))</f>
        <v>0</v>
      </c>
      <c r="J60" s="30">
        <f>if( Actuals!$A59=1,0,(IF(WeeklyRankPoints!J59 &gt; 10,0,(IF(WeeklyRankPoints!J59 = 0,0,VLOOKUP(WeeklyRankPoints!J59,$AA$5:$AB$14,2))*J$3)) + IF(Actuals!K59  = "",0,10)))</f>
        <v>0</v>
      </c>
      <c r="K60" s="30">
        <f>if( Actuals!$A59=1,0,(IF(WeeklyRankPoints!K59 &gt; 10,0,(IF(WeeklyRankPoints!K59 = 0,0,VLOOKUP(WeeklyRankPoints!K59,$AA$5:$AB$14,2))*K$3)) + IF(Actuals!L59  = "",0,10)))</f>
        <v>0</v>
      </c>
      <c r="L60" s="30">
        <f>if( Actuals!$A59=1,0,(IF(WeeklyRankPoints!L59 &gt; 10,0,(IF(WeeklyRankPoints!L59 = 0,0,VLOOKUP(WeeklyRankPoints!L59,$AA$5:$AB$14,2))*L$3)) + IF(Actuals!M59  = "",0,10)))</f>
        <v>0</v>
      </c>
      <c r="M60" s="30">
        <f>if( Actuals!$A59=1,0,(IF(WeeklyRankPoints!M59 &gt; 10,0,(IF(WeeklyRankPoints!M59 = 0,0,VLOOKUP(WeeklyRankPoints!M59,$AA$5:$AB$14,2))*M$3)) + IF(Actuals!N59  = "",0,10)))</f>
        <v>0</v>
      </c>
      <c r="N60" s="30">
        <f>if( Actuals!$A59=1,0,(IF(WeeklyRankPoints!N59 &gt; 10,0,(IF(WeeklyRankPoints!N59 = 0,0,VLOOKUP(WeeklyRankPoints!N59,$AA$5:$AB$14,2))*N$3)) + IF(Actuals!O59  = "",0,10)))</f>
        <v>0</v>
      </c>
      <c r="O60" s="30">
        <f>if( Actuals!$A59=1,0,(IF(WeeklyRankPoints!O59 &gt; 10,0,(IF(WeeklyRankPoints!O59 = 0,0,VLOOKUP(WeeklyRankPoints!O59,$AA$5:$AB$14,2))*O$3)) + IF(Actuals!P59  = "",0,10)))</f>
        <v>0</v>
      </c>
      <c r="P60" s="30">
        <f>if( Actuals!$A59=1,0,(IF(WeeklyRankPoints!P59 &gt; 10,0,(IF(WeeklyRankPoints!P59 = 0,0,VLOOKUP(WeeklyRankPoints!P59,$AA$5:$AB$14,2))*P$3)) + IF(Actuals!Q59  = "",0,10)))</f>
        <v>0</v>
      </c>
      <c r="Q60" s="30">
        <f>if( Actuals!$A59=1,0,(IF(WeeklyRankPoints!Q59 &gt; 10,0,(IF(WeeklyRankPoints!Q59 = 0,0,VLOOKUP(WeeklyRankPoints!Q59,$AA$5:$AB$14,2))*Q$3)) + IF(Actuals!R59  = "",0,10)))</f>
        <v>0</v>
      </c>
      <c r="R60" s="32">
        <f t="shared" si="3"/>
        <v>0</v>
      </c>
      <c r="S60" s="33">
        <f t="shared" si="4"/>
        <v>17</v>
      </c>
      <c r="T60" s="30">
        <f>COUNT(Actuals!C59:R59)</f>
        <v>0</v>
      </c>
      <c r="U60" s="32">
        <f t="shared" si="5"/>
        <v>0</v>
      </c>
      <c r="V60" s="20">
        <f>WeeklyRankMoney!R59</f>
        <v>0</v>
      </c>
      <c r="W60" s="20">
        <f>WeeklyRankMoney!S59</f>
        <v>0</v>
      </c>
      <c r="X60" s="20">
        <f>WeeklyRankMoney!T59</f>
        <v>0</v>
      </c>
      <c r="Y60" s="34">
        <f>Strokes!Q59</f>
        <v>0</v>
      </c>
      <c r="Z60" s="27"/>
      <c r="AA60" s="27"/>
      <c r="AB60" s="27"/>
      <c r="AC60" s="27"/>
      <c r="AD60" s="27"/>
      <c r="AE60" s="27"/>
      <c r="AF60" s="27"/>
      <c r="AG60" s="27"/>
    </row>
    <row r="61">
      <c r="A61" s="26" t="str">
        <f>Actuals!B60</f>
        <v>blank16</v>
      </c>
      <c r="B61" s="30">
        <f>if( Actuals!$A60=1,0,(IF(WeeklyRankPoints!B60 &gt; 10,0,(IF(WeeklyRankPoints!B60 = 0,0,VLOOKUP(WeeklyRankPoints!B60,$AA$5:$AB$14,2))*B$3)) + IF(Actuals!C60  = "",0,10)))</f>
        <v>0</v>
      </c>
      <c r="C61" s="30">
        <f>if( Actuals!$A60=1,0,(IF(WeeklyRankPoints!C60 &gt; 10,0,(IF(WeeklyRankPoints!C60 = 0,0,VLOOKUP(WeeklyRankPoints!C60,$AA$5:$AB$14,2))*C$3)) + IF(Actuals!D60  = "",0,10)))</f>
        <v>0</v>
      </c>
      <c r="D61" s="30">
        <f>if( Actuals!$A60=1,0,(IF(WeeklyRankPoints!D60 &gt; 10,0,(IF(WeeklyRankPoints!D60 = 0,0,VLOOKUP(WeeklyRankPoints!D60,$AA$5:$AB$14,2))*D$3)) + IF(Actuals!E60  = "",0,10)))</f>
        <v>0</v>
      </c>
      <c r="E61" s="30">
        <f>if( Actuals!$A60=1,0,(IF(WeeklyRankPoints!E60 &gt; 10,0,(IF(WeeklyRankPoints!E60 = 0,0,VLOOKUP(WeeklyRankPoints!E60,$AA$5:$AB$14,2))*E$3)) + IF(Actuals!F60  = "",0,10)))</f>
        <v>0</v>
      </c>
      <c r="F61" s="30">
        <f>if( Actuals!$A60=1,0,(IF(WeeklyRankPoints!F60 &gt; 10,0,(IF(WeeklyRankPoints!F60 = 0,0,VLOOKUP(WeeklyRankPoints!F60,$AA$5:$AB$14,2))*F$3)) + IF(Actuals!G60  = "",0,10)))</f>
        <v>0</v>
      </c>
      <c r="G61" s="30">
        <f>if( Actuals!$A60=1,0,(IF(WeeklyRankPoints!G60 &gt; 10,0,(IF(WeeklyRankPoints!G60 = 0,0,VLOOKUP(WeeklyRankPoints!G60,$AA$5:$AB$14,2))*G$3)) + IF(Actuals!H60  = "",0,10)))</f>
        <v>0</v>
      </c>
      <c r="H61" s="30">
        <f>if( Actuals!$A60=1,0,(IF(WeeklyRankPoints!H60 &gt; 10,0,(IF(WeeklyRankPoints!H60 = 0,0,VLOOKUP(WeeklyRankPoints!H60,$AA$5:$AB$14,2))*H$3)) + IF(Actuals!I60  = "",0,10)))</f>
        <v>0</v>
      </c>
      <c r="I61" s="30">
        <f>if( Actuals!$A60=1,0,(IF(WeeklyRankPoints!I60 &gt; 10,0,(IF(WeeklyRankPoints!I60 = 0,0,VLOOKUP(WeeklyRankPoints!I60,$AA$5:$AB$14,2))*I$3)) + IF(Actuals!J60  = "",0,10)))</f>
        <v>0</v>
      </c>
      <c r="J61" s="30">
        <f>if( Actuals!$A60=1,0,(IF(WeeklyRankPoints!J60 &gt; 10,0,(IF(WeeklyRankPoints!J60 = 0,0,VLOOKUP(WeeklyRankPoints!J60,$AA$5:$AB$14,2))*J$3)) + IF(Actuals!K60  = "",0,10)))</f>
        <v>0</v>
      </c>
      <c r="K61" s="30">
        <f>if( Actuals!$A60=1,0,(IF(WeeklyRankPoints!K60 &gt; 10,0,(IF(WeeklyRankPoints!K60 = 0,0,VLOOKUP(WeeklyRankPoints!K60,$AA$5:$AB$14,2))*K$3)) + IF(Actuals!L60  = "",0,10)))</f>
        <v>0</v>
      </c>
      <c r="L61" s="30">
        <f>if( Actuals!$A60=1,0,(IF(WeeklyRankPoints!L60 &gt; 10,0,(IF(WeeklyRankPoints!L60 = 0,0,VLOOKUP(WeeklyRankPoints!L60,$AA$5:$AB$14,2))*L$3)) + IF(Actuals!M60  = "",0,10)))</f>
        <v>0</v>
      </c>
      <c r="M61" s="30">
        <f>if( Actuals!$A60=1,0,(IF(WeeklyRankPoints!M60 &gt; 10,0,(IF(WeeklyRankPoints!M60 = 0,0,VLOOKUP(WeeklyRankPoints!M60,$AA$5:$AB$14,2))*M$3)) + IF(Actuals!N60  = "",0,10)))</f>
        <v>0</v>
      </c>
      <c r="N61" s="30">
        <f>if( Actuals!$A60=1,0,(IF(WeeklyRankPoints!N60 &gt; 10,0,(IF(WeeklyRankPoints!N60 = 0,0,VLOOKUP(WeeklyRankPoints!N60,$AA$5:$AB$14,2))*N$3)) + IF(Actuals!O60  = "",0,10)))</f>
        <v>0</v>
      </c>
      <c r="O61" s="30">
        <f>if( Actuals!$A60=1,0,(IF(WeeklyRankPoints!O60 &gt; 10,0,(IF(WeeklyRankPoints!O60 = 0,0,VLOOKUP(WeeklyRankPoints!O60,$AA$5:$AB$14,2))*O$3)) + IF(Actuals!P60  = "",0,10)))</f>
        <v>0</v>
      </c>
      <c r="P61" s="30">
        <f>if( Actuals!$A60=1,0,(IF(WeeklyRankPoints!P60 &gt; 10,0,(IF(WeeklyRankPoints!P60 = 0,0,VLOOKUP(WeeklyRankPoints!P60,$AA$5:$AB$14,2))*P$3)) + IF(Actuals!Q60  = "",0,10)))</f>
        <v>0</v>
      </c>
      <c r="Q61" s="30">
        <f>if( Actuals!$A60=1,0,(IF(WeeklyRankPoints!Q60 &gt; 10,0,(IF(WeeklyRankPoints!Q60 = 0,0,VLOOKUP(WeeklyRankPoints!Q60,$AA$5:$AB$14,2))*Q$3)) + IF(Actuals!R60  = "",0,10)))</f>
        <v>0</v>
      </c>
      <c r="R61" s="32">
        <f t="shared" si="3"/>
        <v>0</v>
      </c>
      <c r="S61" s="33">
        <f t="shared" si="4"/>
        <v>17</v>
      </c>
      <c r="T61" s="30">
        <f>COUNT(Actuals!C60:R60)</f>
        <v>0</v>
      </c>
      <c r="U61" s="32">
        <f t="shared" si="5"/>
        <v>0</v>
      </c>
      <c r="V61" s="20">
        <f>WeeklyRankMoney!R60</f>
        <v>0</v>
      </c>
      <c r="W61" s="20">
        <f>WeeklyRankMoney!S60</f>
        <v>0</v>
      </c>
      <c r="X61" s="20">
        <f>WeeklyRankMoney!T60</f>
        <v>0</v>
      </c>
      <c r="Y61" s="34">
        <f>Strokes!Q60</f>
        <v>0</v>
      </c>
      <c r="Z61" s="27"/>
      <c r="AA61" s="27"/>
      <c r="AB61" s="27"/>
      <c r="AC61" s="27"/>
      <c r="AD61" s="27"/>
      <c r="AE61" s="27"/>
      <c r="AF61" s="27"/>
      <c r="AG61" s="27"/>
    </row>
    <row r="62">
      <c r="A62" s="26" t="str">
        <f>Actuals!B61</f>
        <v>blank17</v>
      </c>
      <c r="B62" s="30">
        <f>if( Actuals!$A61=1,0,(IF(WeeklyRankPoints!B61 &gt; 10,0,(IF(WeeklyRankPoints!B61 = 0,0,VLOOKUP(WeeklyRankPoints!B61,$AA$5:$AB$14,2))*B$3)) + IF(Actuals!C61  = "",0,10)))</f>
        <v>0</v>
      </c>
      <c r="C62" s="30">
        <f>if( Actuals!$A61=1,0,(IF(WeeklyRankPoints!C61 &gt; 10,0,(IF(WeeklyRankPoints!C61 = 0,0,VLOOKUP(WeeklyRankPoints!C61,$AA$5:$AB$14,2))*C$3)) + IF(Actuals!D61  = "",0,10)))</f>
        <v>0</v>
      </c>
      <c r="D62" s="30">
        <f>if( Actuals!$A61=1,0,(IF(WeeklyRankPoints!D61 &gt; 10,0,(IF(WeeklyRankPoints!D61 = 0,0,VLOOKUP(WeeklyRankPoints!D61,$AA$5:$AB$14,2))*D$3)) + IF(Actuals!E61  = "",0,10)))</f>
        <v>0</v>
      </c>
      <c r="E62" s="30">
        <f>if( Actuals!$A61=1,0,(IF(WeeklyRankPoints!E61 &gt; 10,0,(IF(WeeklyRankPoints!E61 = 0,0,VLOOKUP(WeeklyRankPoints!E61,$AA$5:$AB$14,2))*E$3)) + IF(Actuals!F61  = "",0,10)))</f>
        <v>0</v>
      </c>
      <c r="F62" s="30">
        <f>if( Actuals!$A61=1,0,(IF(WeeklyRankPoints!F61 &gt; 10,0,(IF(WeeklyRankPoints!F61 = 0,0,VLOOKUP(WeeklyRankPoints!F61,$AA$5:$AB$14,2))*F$3)) + IF(Actuals!G61  = "",0,10)))</f>
        <v>0</v>
      </c>
      <c r="G62" s="30">
        <f>if( Actuals!$A61=1,0,(IF(WeeklyRankPoints!G61 &gt; 10,0,(IF(WeeklyRankPoints!G61 = 0,0,VLOOKUP(WeeklyRankPoints!G61,$AA$5:$AB$14,2))*G$3)) + IF(Actuals!H61  = "",0,10)))</f>
        <v>0</v>
      </c>
      <c r="H62" s="30">
        <f>if( Actuals!$A61=1,0,(IF(WeeklyRankPoints!H61 &gt; 10,0,(IF(WeeklyRankPoints!H61 = 0,0,VLOOKUP(WeeklyRankPoints!H61,$AA$5:$AB$14,2))*H$3)) + IF(Actuals!I61  = "",0,10)))</f>
        <v>0</v>
      </c>
      <c r="I62" s="30">
        <f>if( Actuals!$A61=1,0,(IF(WeeklyRankPoints!I61 &gt; 10,0,(IF(WeeklyRankPoints!I61 = 0,0,VLOOKUP(WeeklyRankPoints!I61,$AA$5:$AB$14,2))*I$3)) + IF(Actuals!J61  = "",0,10)))</f>
        <v>0</v>
      </c>
      <c r="J62" s="30">
        <f>if( Actuals!$A61=1,0,(IF(WeeklyRankPoints!J61 &gt; 10,0,(IF(WeeklyRankPoints!J61 = 0,0,VLOOKUP(WeeklyRankPoints!J61,$AA$5:$AB$14,2))*J$3)) + IF(Actuals!K61  = "",0,10)))</f>
        <v>0</v>
      </c>
      <c r="K62" s="30">
        <f>if( Actuals!$A61=1,0,(IF(WeeklyRankPoints!K61 &gt; 10,0,(IF(WeeklyRankPoints!K61 = 0,0,VLOOKUP(WeeklyRankPoints!K61,$AA$5:$AB$14,2))*K$3)) + IF(Actuals!L61  = "",0,10)))</f>
        <v>0</v>
      </c>
      <c r="L62" s="30">
        <f>if( Actuals!$A61=1,0,(IF(WeeklyRankPoints!L61 &gt; 10,0,(IF(WeeklyRankPoints!L61 = 0,0,VLOOKUP(WeeklyRankPoints!L61,$AA$5:$AB$14,2))*L$3)) + IF(Actuals!M61  = "",0,10)))</f>
        <v>0</v>
      </c>
      <c r="M62" s="30">
        <f>if( Actuals!$A61=1,0,(IF(WeeklyRankPoints!M61 &gt; 10,0,(IF(WeeklyRankPoints!M61 = 0,0,VLOOKUP(WeeklyRankPoints!M61,$AA$5:$AB$14,2))*M$3)) + IF(Actuals!N61  = "",0,10)))</f>
        <v>0</v>
      </c>
      <c r="N62" s="30">
        <f>if( Actuals!$A61=1,0,(IF(WeeklyRankPoints!N61 &gt; 10,0,(IF(WeeklyRankPoints!N61 = 0,0,VLOOKUP(WeeklyRankPoints!N61,$AA$5:$AB$14,2))*N$3)) + IF(Actuals!O61  = "",0,10)))</f>
        <v>0</v>
      </c>
      <c r="O62" s="30">
        <f>if( Actuals!$A61=1,0,(IF(WeeklyRankPoints!O61 &gt; 10,0,(IF(WeeklyRankPoints!O61 = 0,0,VLOOKUP(WeeklyRankPoints!O61,$AA$5:$AB$14,2))*O$3)) + IF(Actuals!P61  = "",0,10)))</f>
        <v>0</v>
      </c>
      <c r="P62" s="30">
        <f>if( Actuals!$A61=1,0,(IF(WeeklyRankPoints!P61 &gt; 10,0,(IF(WeeklyRankPoints!P61 = 0,0,VLOOKUP(WeeklyRankPoints!P61,$AA$5:$AB$14,2))*P$3)) + IF(Actuals!Q61  = "",0,10)))</f>
        <v>0</v>
      </c>
      <c r="Q62" s="30">
        <f>if( Actuals!$A61=1,0,(IF(WeeklyRankPoints!Q61 &gt; 10,0,(IF(WeeklyRankPoints!Q61 = 0,0,VLOOKUP(WeeklyRankPoints!Q61,$AA$5:$AB$14,2))*Q$3)) + IF(Actuals!R61  = "",0,10)))</f>
        <v>0</v>
      </c>
      <c r="R62" s="32">
        <f t="shared" si="3"/>
        <v>0</v>
      </c>
      <c r="S62" s="33">
        <f t="shared" si="4"/>
        <v>17</v>
      </c>
      <c r="T62" s="30">
        <f>COUNT(Actuals!C61:R61)</f>
        <v>0</v>
      </c>
      <c r="U62" s="32">
        <f t="shared" si="5"/>
        <v>0</v>
      </c>
      <c r="V62" s="20">
        <f>WeeklyRankMoney!R61</f>
        <v>0</v>
      </c>
      <c r="W62" s="20">
        <f>WeeklyRankMoney!S61</f>
        <v>0</v>
      </c>
      <c r="X62" s="20">
        <f>WeeklyRankMoney!T61</f>
        <v>0</v>
      </c>
      <c r="Y62" s="34">
        <f>Strokes!Q61</f>
        <v>0</v>
      </c>
      <c r="Z62" s="27"/>
      <c r="AA62" s="27"/>
      <c r="AB62" s="27"/>
      <c r="AC62" s="27"/>
      <c r="AD62" s="27"/>
      <c r="AE62" s="27"/>
      <c r="AF62" s="27"/>
      <c r="AG62" s="27"/>
    </row>
    <row r="63">
      <c r="A63" s="26" t="str">
        <f>Actuals!B62</f>
        <v>blank18</v>
      </c>
      <c r="B63" s="30">
        <f>if( Actuals!$A62=1,0,(IF(WeeklyRankPoints!B62 &gt; 10,0,(IF(WeeklyRankPoints!B62 = 0,0,VLOOKUP(WeeklyRankPoints!B62,$AA$5:$AB$14,2))*B$3)) + IF(Actuals!C62  = "",0,10)))</f>
        <v>0</v>
      </c>
      <c r="C63" s="30">
        <f>if( Actuals!$A62=1,0,(IF(WeeklyRankPoints!C62 &gt; 10,0,(IF(WeeklyRankPoints!C62 = 0,0,VLOOKUP(WeeklyRankPoints!C62,$AA$5:$AB$14,2))*C$3)) + IF(Actuals!D62  = "",0,10)))</f>
        <v>0</v>
      </c>
      <c r="D63" s="30">
        <f>if( Actuals!$A62=1,0,(IF(WeeklyRankPoints!D62 &gt; 10,0,(IF(WeeklyRankPoints!D62 = 0,0,VLOOKUP(WeeklyRankPoints!D62,$AA$5:$AB$14,2))*D$3)) + IF(Actuals!E62  = "",0,10)))</f>
        <v>0</v>
      </c>
      <c r="E63" s="30">
        <f>if( Actuals!$A62=1,0,(IF(WeeklyRankPoints!E62 &gt; 10,0,(IF(WeeklyRankPoints!E62 = 0,0,VLOOKUP(WeeklyRankPoints!E62,$AA$5:$AB$14,2))*E$3)) + IF(Actuals!F62  = "",0,10)))</f>
        <v>0</v>
      </c>
      <c r="F63" s="30">
        <f>if( Actuals!$A62=1,0,(IF(WeeklyRankPoints!F62 &gt; 10,0,(IF(WeeklyRankPoints!F62 = 0,0,VLOOKUP(WeeklyRankPoints!F62,$AA$5:$AB$14,2))*F$3)) + IF(Actuals!G62  = "",0,10)))</f>
        <v>0</v>
      </c>
      <c r="G63" s="30">
        <f>if( Actuals!$A62=1,0,(IF(WeeklyRankPoints!G62 &gt; 10,0,(IF(WeeklyRankPoints!G62 = 0,0,VLOOKUP(WeeklyRankPoints!G62,$AA$5:$AB$14,2))*G$3)) + IF(Actuals!H62  = "",0,10)))</f>
        <v>0</v>
      </c>
      <c r="H63" s="30">
        <f>if( Actuals!$A62=1,0,(IF(WeeklyRankPoints!H62 &gt; 10,0,(IF(WeeklyRankPoints!H62 = 0,0,VLOOKUP(WeeklyRankPoints!H62,$AA$5:$AB$14,2))*H$3)) + IF(Actuals!I62  = "",0,10)))</f>
        <v>0</v>
      </c>
      <c r="I63" s="30">
        <f>if( Actuals!$A62=1,0,(IF(WeeklyRankPoints!I62 &gt; 10,0,(IF(WeeklyRankPoints!I62 = 0,0,VLOOKUP(WeeklyRankPoints!I62,$AA$5:$AB$14,2))*I$3)) + IF(Actuals!J62  = "",0,10)))</f>
        <v>0</v>
      </c>
      <c r="J63" s="30">
        <f>if( Actuals!$A62=1,0,(IF(WeeklyRankPoints!J62 &gt; 10,0,(IF(WeeklyRankPoints!J62 = 0,0,VLOOKUP(WeeklyRankPoints!J62,$AA$5:$AB$14,2))*J$3)) + IF(Actuals!K62  = "",0,10)))</f>
        <v>0</v>
      </c>
      <c r="K63" s="30">
        <f>if( Actuals!$A62=1,0,(IF(WeeklyRankPoints!K62 &gt; 10,0,(IF(WeeklyRankPoints!K62 = 0,0,VLOOKUP(WeeklyRankPoints!K62,$AA$5:$AB$14,2))*K$3)) + IF(Actuals!L62  = "",0,10)))</f>
        <v>0</v>
      </c>
      <c r="L63" s="30">
        <f>if( Actuals!$A62=1,0,(IF(WeeklyRankPoints!L62 &gt; 10,0,(IF(WeeklyRankPoints!L62 = 0,0,VLOOKUP(WeeklyRankPoints!L62,$AA$5:$AB$14,2))*L$3)) + IF(Actuals!M62  = "",0,10)))</f>
        <v>0</v>
      </c>
      <c r="M63" s="30">
        <f>if( Actuals!$A62=1,0,(IF(WeeklyRankPoints!M62 &gt; 10,0,(IF(WeeklyRankPoints!M62 = 0,0,VLOOKUP(WeeklyRankPoints!M62,$AA$5:$AB$14,2))*M$3)) + IF(Actuals!N62  = "",0,10)))</f>
        <v>0</v>
      </c>
      <c r="N63" s="30">
        <f>if( Actuals!$A62=1,0,(IF(WeeklyRankPoints!N62 &gt; 10,0,(IF(WeeklyRankPoints!N62 = 0,0,VLOOKUP(WeeklyRankPoints!N62,$AA$5:$AB$14,2))*N$3)) + IF(Actuals!O62  = "",0,10)))</f>
        <v>0</v>
      </c>
      <c r="O63" s="30">
        <f>if( Actuals!$A62=1,0,(IF(WeeklyRankPoints!O62 &gt; 10,0,(IF(WeeklyRankPoints!O62 = 0,0,VLOOKUP(WeeklyRankPoints!O62,$AA$5:$AB$14,2))*O$3)) + IF(Actuals!P62  = "",0,10)))</f>
        <v>0</v>
      </c>
      <c r="P63" s="30">
        <f>if( Actuals!$A62=1,0,(IF(WeeklyRankPoints!P62 &gt; 10,0,(IF(WeeklyRankPoints!P62 = 0,0,VLOOKUP(WeeklyRankPoints!P62,$AA$5:$AB$14,2))*P$3)) + IF(Actuals!Q62  = "",0,10)))</f>
        <v>0</v>
      </c>
      <c r="Q63" s="30">
        <f>if( Actuals!$A62=1,0,(IF(WeeklyRankPoints!Q62 &gt; 10,0,(IF(WeeklyRankPoints!Q62 = 0,0,VLOOKUP(WeeklyRankPoints!Q62,$AA$5:$AB$14,2))*Q$3)) + IF(Actuals!R62  = "",0,10)))</f>
        <v>0</v>
      </c>
      <c r="R63" s="32">
        <f t="shared" si="3"/>
        <v>0</v>
      </c>
      <c r="S63" s="33">
        <f t="shared" si="4"/>
        <v>17</v>
      </c>
      <c r="T63" s="30">
        <f>COUNT(Actuals!C62:R62)</f>
        <v>0</v>
      </c>
      <c r="U63" s="32">
        <f t="shared" si="5"/>
        <v>0</v>
      </c>
      <c r="V63" s="20">
        <f>WeeklyRankMoney!R62</f>
        <v>0</v>
      </c>
      <c r="W63" s="20">
        <f>WeeklyRankMoney!S62</f>
        <v>0</v>
      </c>
      <c r="X63" s="20">
        <f>WeeklyRankMoney!T62</f>
        <v>0</v>
      </c>
      <c r="Y63" s="34">
        <f>Strokes!Q62</f>
        <v>0</v>
      </c>
      <c r="Z63" s="27"/>
      <c r="AA63" s="27"/>
      <c r="AB63" s="27"/>
      <c r="AC63" s="27"/>
      <c r="AD63" s="27"/>
      <c r="AE63" s="27"/>
      <c r="AF63" s="27"/>
      <c r="AG63" s="27"/>
    </row>
    <row r="64">
      <c r="A64" s="26" t="str">
        <f>Actuals!B63</f>
        <v>blank19</v>
      </c>
      <c r="B64" s="30">
        <f>if( Actuals!$A63=1,0,(IF(WeeklyRankPoints!B63 &gt; 10,0,(IF(WeeklyRankPoints!B63 = 0,0,VLOOKUP(WeeklyRankPoints!B63,$AA$5:$AB$14,2))*B$3)) + IF(Actuals!C63  = "",0,10)))</f>
        <v>0</v>
      </c>
      <c r="C64" s="30">
        <f>if( Actuals!$A63=1,0,(IF(WeeklyRankPoints!C63 &gt; 10,0,(IF(WeeklyRankPoints!C63 = 0,0,VLOOKUP(WeeklyRankPoints!C63,$AA$5:$AB$14,2))*C$3)) + IF(Actuals!D63  = "",0,10)))</f>
        <v>0</v>
      </c>
      <c r="D64" s="30">
        <f>if( Actuals!$A63=1,0,(IF(WeeklyRankPoints!D63 &gt; 10,0,(IF(WeeklyRankPoints!D63 = 0,0,VLOOKUP(WeeklyRankPoints!D63,$AA$5:$AB$14,2))*D$3)) + IF(Actuals!E63  = "",0,10)))</f>
        <v>0</v>
      </c>
      <c r="E64" s="30">
        <f>if( Actuals!$A63=1,0,(IF(WeeklyRankPoints!E63 &gt; 10,0,(IF(WeeklyRankPoints!E63 = 0,0,VLOOKUP(WeeklyRankPoints!E63,$AA$5:$AB$14,2))*E$3)) + IF(Actuals!F63  = "",0,10)))</f>
        <v>0</v>
      </c>
      <c r="F64" s="30">
        <f>if( Actuals!$A63=1,0,(IF(WeeklyRankPoints!F63 &gt; 10,0,(IF(WeeklyRankPoints!F63 = 0,0,VLOOKUP(WeeklyRankPoints!F63,$AA$5:$AB$14,2))*F$3)) + IF(Actuals!G63  = "",0,10)))</f>
        <v>0</v>
      </c>
      <c r="G64" s="30">
        <f>if( Actuals!$A63=1,0,(IF(WeeklyRankPoints!G63 &gt; 10,0,(IF(WeeklyRankPoints!G63 = 0,0,VLOOKUP(WeeklyRankPoints!G63,$AA$5:$AB$14,2))*G$3)) + IF(Actuals!H63  = "",0,10)))</f>
        <v>0</v>
      </c>
      <c r="H64" s="30">
        <f>if( Actuals!$A63=1,0,(IF(WeeklyRankPoints!H63 &gt; 10,0,(IF(WeeklyRankPoints!H63 = 0,0,VLOOKUP(WeeklyRankPoints!H63,$AA$5:$AB$14,2))*H$3)) + IF(Actuals!I63  = "",0,10)))</f>
        <v>0</v>
      </c>
      <c r="I64" s="30">
        <f>if( Actuals!$A63=1,0,(IF(WeeklyRankPoints!I63 &gt; 10,0,(IF(WeeklyRankPoints!I63 = 0,0,VLOOKUP(WeeklyRankPoints!I63,$AA$5:$AB$14,2))*I$3)) + IF(Actuals!J63  = "",0,10)))</f>
        <v>0</v>
      </c>
      <c r="J64" s="30">
        <f>if( Actuals!$A63=1,0,(IF(WeeklyRankPoints!J63 &gt; 10,0,(IF(WeeklyRankPoints!J63 = 0,0,VLOOKUP(WeeklyRankPoints!J63,$AA$5:$AB$14,2))*J$3)) + IF(Actuals!K63  = "",0,10)))</f>
        <v>0</v>
      </c>
      <c r="K64" s="30">
        <f>if( Actuals!$A63=1,0,(IF(WeeklyRankPoints!K63 &gt; 10,0,(IF(WeeklyRankPoints!K63 = 0,0,VLOOKUP(WeeklyRankPoints!K63,$AA$5:$AB$14,2))*K$3)) + IF(Actuals!L63  = "",0,10)))</f>
        <v>0</v>
      </c>
      <c r="L64" s="30">
        <f>if( Actuals!$A63=1,0,(IF(WeeklyRankPoints!L63 &gt; 10,0,(IF(WeeklyRankPoints!L63 = 0,0,VLOOKUP(WeeklyRankPoints!L63,$AA$5:$AB$14,2))*L$3)) + IF(Actuals!M63  = "",0,10)))</f>
        <v>0</v>
      </c>
      <c r="M64" s="30">
        <f>if( Actuals!$A63=1,0,(IF(WeeklyRankPoints!M63 &gt; 10,0,(IF(WeeklyRankPoints!M63 = 0,0,VLOOKUP(WeeklyRankPoints!M63,$AA$5:$AB$14,2))*M$3)) + IF(Actuals!N63  = "",0,10)))</f>
        <v>0</v>
      </c>
      <c r="N64" s="30">
        <f>if( Actuals!$A63=1,0,(IF(WeeklyRankPoints!N63 &gt; 10,0,(IF(WeeklyRankPoints!N63 = 0,0,VLOOKUP(WeeklyRankPoints!N63,$AA$5:$AB$14,2))*N$3)) + IF(Actuals!O63  = "",0,10)))</f>
        <v>0</v>
      </c>
      <c r="O64" s="30">
        <f>if( Actuals!$A63=1,0,(IF(WeeklyRankPoints!O63 &gt; 10,0,(IF(WeeklyRankPoints!O63 = 0,0,VLOOKUP(WeeklyRankPoints!O63,$AA$5:$AB$14,2))*O$3)) + IF(Actuals!P63  = "",0,10)))</f>
        <v>0</v>
      </c>
      <c r="P64" s="30">
        <f>if( Actuals!$A63=1,0,(IF(WeeklyRankPoints!P63 &gt; 10,0,(IF(WeeklyRankPoints!P63 = 0,0,VLOOKUP(WeeklyRankPoints!P63,$AA$5:$AB$14,2))*P$3)) + IF(Actuals!Q63  = "",0,10)))</f>
        <v>0</v>
      </c>
      <c r="Q64" s="30">
        <f>if( Actuals!$A63=1,0,(IF(WeeklyRankPoints!Q63 &gt; 10,0,(IF(WeeklyRankPoints!Q63 = 0,0,VLOOKUP(WeeklyRankPoints!Q63,$AA$5:$AB$14,2))*Q$3)) + IF(Actuals!R63  = "",0,10)))</f>
        <v>0</v>
      </c>
      <c r="R64" s="32">
        <f t="shared" si="3"/>
        <v>0</v>
      </c>
      <c r="S64" s="33">
        <f t="shared" si="4"/>
        <v>17</v>
      </c>
      <c r="T64" s="30">
        <f>COUNT(Actuals!C63:R63)</f>
        <v>0</v>
      </c>
      <c r="U64" s="32">
        <f t="shared" si="5"/>
        <v>0</v>
      </c>
      <c r="V64" s="20">
        <f>WeeklyRankMoney!R63</f>
        <v>0</v>
      </c>
      <c r="W64" s="20">
        <f>WeeklyRankMoney!S63</f>
        <v>0</v>
      </c>
      <c r="X64" s="20">
        <f>WeeklyRankMoney!T63</f>
        <v>0</v>
      </c>
      <c r="Y64" s="34">
        <f>Strokes!Q63</f>
        <v>0</v>
      </c>
      <c r="Z64" s="27"/>
      <c r="AA64" s="27"/>
      <c r="AB64" s="27"/>
      <c r="AC64" s="27"/>
      <c r="AD64" s="27"/>
      <c r="AE64" s="27"/>
      <c r="AF64" s="27"/>
      <c r="AG64" s="27"/>
    </row>
    <row r="65">
      <c r="A65" s="26" t="str">
        <f>Actuals!B64</f>
        <v>blank20</v>
      </c>
      <c r="B65" s="30">
        <f>if( Actuals!$A64=1,0,(IF(WeeklyRankPoints!B64 &gt; 10,0,(IF(WeeklyRankPoints!B64 = 0,0,VLOOKUP(WeeklyRankPoints!B64,$AA$5:$AB$14,2))*B$3)) + IF(Actuals!C64  = "",0,10)))</f>
        <v>0</v>
      </c>
      <c r="C65" s="30">
        <f>if( Actuals!$A64=1,0,(IF(WeeklyRankPoints!C64 &gt; 10,0,(IF(WeeklyRankPoints!C64 = 0,0,VLOOKUP(WeeklyRankPoints!C64,$AA$5:$AB$14,2))*C$3)) + IF(Actuals!D64  = "",0,10)))</f>
        <v>0</v>
      </c>
      <c r="D65" s="30">
        <f>if( Actuals!$A64=1,0,(IF(WeeklyRankPoints!D64 &gt; 10,0,(IF(WeeklyRankPoints!D64 = 0,0,VLOOKUP(WeeklyRankPoints!D64,$AA$5:$AB$14,2))*D$3)) + IF(Actuals!E64  = "",0,10)))</f>
        <v>0</v>
      </c>
      <c r="E65" s="30">
        <f>if( Actuals!$A64=1,0,(IF(WeeklyRankPoints!E64 &gt; 10,0,(IF(WeeklyRankPoints!E64 = 0,0,VLOOKUP(WeeklyRankPoints!E64,$AA$5:$AB$14,2))*E$3)) + IF(Actuals!F64  = "",0,10)))</f>
        <v>0</v>
      </c>
      <c r="F65" s="30">
        <f>if( Actuals!$A64=1,0,(IF(WeeklyRankPoints!F64 &gt; 10,0,(IF(WeeklyRankPoints!F64 = 0,0,VLOOKUP(WeeklyRankPoints!F64,$AA$5:$AB$14,2))*F$3)) + IF(Actuals!G64  = "",0,10)))</f>
        <v>0</v>
      </c>
      <c r="G65" s="30">
        <f>if( Actuals!$A64=1,0,(IF(WeeklyRankPoints!G64 &gt; 10,0,(IF(WeeklyRankPoints!G64 = 0,0,VLOOKUP(WeeklyRankPoints!G64,$AA$5:$AB$14,2))*G$3)) + IF(Actuals!H64  = "",0,10)))</f>
        <v>0</v>
      </c>
      <c r="H65" s="30">
        <f>if( Actuals!$A64=1,0,(IF(WeeklyRankPoints!H64 &gt; 10,0,(IF(WeeklyRankPoints!H64 = 0,0,VLOOKUP(WeeklyRankPoints!H64,$AA$5:$AB$14,2))*H$3)) + IF(Actuals!I64  = "",0,10)))</f>
        <v>0</v>
      </c>
      <c r="I65" s="30">
        <f>if( Actuals!$A64=1,0,(IF(WeeklyRankPoints!I64 &gt; 10,0,(IF(WeeklyRankPoints!I64 = 0,0,VLOOKUP(WeeklyRankPoints!I64,$AA$5:$AB$14,2))*I$3)) + IF(Actuals!J64  = "",0,10)))</f>
        <v>0</v>
      </c>
      <c r="J65" s="30">
        <f>if( Actuals!$A64=1,0,(IF(WeeklyRankPoints!J64 &gt; 10,0,(IF(WeeklyRankPoints!J64 = 0,0,VLOOKUP(WeeklyRankPoints!J64,$AA$5:$AB$14,2))*J$3)) + IF(Actuals!K64  = "",0,10)))</f>
        <v>0</v>
      </c>
      <c r="K65" s="30">
        <f>if( Actuals!$A64=1,0,(IF(WeeklyRankPoints!K64 &gt; 10,0,(IF(WeeklyRankPoints!K64 = 0,0,VLOOKUP(WeeklyRankPoints!K64,$AA$5:$AB$14,2))*K$3)) + IF(Actuals!L64  = "",0,10)))</f>
        <v>0</v>
      </c>
      <c r="L65" s="30">
        <f>if( Actuals!$A64=1,0,(IF(WeeklyRankPoints!L64 &gt; 10,0,(IF(WeeklyRankPoints!L64 = 0,0,VLOOKUP(WeeklyRankPoints!L64,$AA$5:$AB$14,2))*L$3)) + IF(Actuals!M64  = "",0,10)))</f>
        <v>0</v>
      </c>
      <c r="M65" s="30">
        <f>if( Actuals!$A64=1,0,(IF(WeeklyRankPoints!M64 &gt; 10,0,(IF(WeeklyRankPoints!M64 = 0,0,VLOOKUP(WeeklyRankPoints!M64,$AA$5:$AB$14,2))*M$3)) + IF(Actuals!N64  = "",0,10)))</f>
        <v>0</v>
      </c>
      <c r="N65" s="30">
        <f>if( Actuals!$A64=1,0,(IF(WeeklyRankPoints!N64 &gt; 10,0,(IF(WeeklyRankPoints!N64 = 0,0,VLOOKUP(WeeklyRankPoints!N64,$AA$5:$AB$14,2))*N$3)) + IF(Actuals!O64  = "",0,10)))</f>
        <v>0</v>
      </c>
      <c r="O65" s="30">
        <f>if( Actuals!$A64=1,0,(IF(WeeklyRankPoints!O64 &gt; 10,0,(IF(WeeklyRankPoints!O64 = 0,0,VLOOKUP(WeeklyRankPoints!O64,$AA$5:$AB$14,2))*O$3)) + IF(Actuals!P64  = "",0,10)))</f>
        <v>0</v>
      </c>
      <c r="P65" s="30">
        <f>if( Actuals!$A64=1,0,(IF(WeeklyRankPoints!P64 &gt; 10,0,(IF(WeeklyRankPoints!P64 = 0,0,VLOOKUP(WeeklyRankPoints!P64,$AA$5:$AB$14,2))*P$3)) + IF(Actuals!Q64  = "",0,10)))</f>
        <v>0</v>
      </c>
      <c r="Q65" s="30">
        <f>if( Actuals!$A64=1,0,(IF(WeeklyRankPoints!Q64 &gt; 10,0,(IF(WeeklyRankPoints!Q64 = 0,0,VLOOKUP(WeeklyRankPoints!Q64,$AA$5:$AB$14,2))*Q$3)) + IF(Actuals!R64  = "",0,10)))</f>
        <v>0</v>
      </c>
      <c r="R65" s="32">
        <f t="shared" si="3"/>
        <v>0</v>
      </c>
      <c r="S65" s="33">
        <f t="shared" si="4"/>
        <v>17</v>
      </c>
      <c r="T65" s="30">
        <f>COUNT(Actuals!C64:R64)</f>
        <v>0</v>
      </c>
      <c r="U65" s="32">
        <f t="shared" si="5"/>
        <v>0</v>
      </c>
      <c r="V65" s="20">
        <f>WeeklyRankMoney!R64</f>
        <v>0</v>
      </c>
      <c r="W65" s="20">
        <f>WeeklyRankMoney!S64</f>
        <v>0</v>
      </c>
      <c r="X65" s="20">
        <f>WeeklyRankMoney!T64</f>
        <v>0</v>
      </c>
      <c r="Y65" s="34">
        <f>Strokes!Q64</f>
        <v>0</v>
      </c>
      <c r="Z65" s="27"/>
      <c r="AA65" s="27"/>
      <c r="AB65" s="27"/>
      <c r="AC65" s="27"/>
      <c r="AD65" s="27"/>
      <c r="AE65" s="27"/>
      <c r="AF65" s="27"/>
      <c r="AG65" s="27"/>
    </row>
    <row r="66">
      <c r="A66" s="26" t="str">
        <f>Actuals!B65</f>
        <v>blank21</v>
      </c>
      <c r="B66" s="30">
        <f>if( Actuals!$A65=1,0,(IF(WeeklyRankPoints!B65 &gt; 10,0,(IF(WeeklyRankPoints!B65 = 0,0,VLOOKUP(WeeklyRankPoints!B65,$AA$5:$AB$14,2))*B$3)) + IF(Actuals!C65  = "",0,10)))</f>
        <v>0</v>
      </c>
      <c r="C66" s="30">
        <f>if( Actuals!$A65=1,0,(IF(WeeklyRankPoints!C65 &gt; 10,0,(IF(WeeklyRankPoints!C65 = 0,0,VLOOKUP(WeeklyRankPoints!C65,$AA$5:$AB$14,2))*C$3)) + IF(Actuals!D65  = "",0,10)))</f>
        <v>0</v>
      </c>
      <c r="D66" s="30">
        <f>if( Actuals!$A65=1,0,(IF(WeeklyRankPoints!D65 &gt; 10,0,(IF(WeeklyRankPoints!D65 = 0,0,VLOOKUP(WeeklyRankPoints!D65,$AA$5:$AB$14,2))*D$3)) + IF(Actuals!E65  = "",0,10)))</f>
        <v>0</v>
      </c>
      <c r="E66" s="30">
        <f>if( Actuals!$A65=1,0,(IF(WeeklyRankPoints!E65 &gt; 10,0,(IF(WeeklyRankPoints!E65 = 0,0,VLOOKUP(WeeklyRankPoints!E65,$AA$5:$AB$14,2))*E$3)) + IF(Actuals!F65  = "",0,10)))</f>
        <v>0</v>
      </c>
      <c r="F66" s="30">
        <f>if( Actuals!$A65=1,0,(IF(WeeklyRankPoints!F65 &gt; 10,0,(IF(WeeklyRankPoints!F65 = 0,0,VLOOKUP(WeeklyRankPoints!F65,$AA$5:$AB$14,2))*F$3)) + IF(Actuals!G65  = "",0,10)))</f>
        <v>0</v>
      </c>
      <c r="G66" s="30">
        <f>if( Actuals!$A65=1,0,(IF(WeeklyRankPoints!G65 &gt; 10,0,(IF(WeeklyRankPoints!G65 = 0,0,VLOOKUP(WeeklyRankPoints!G65,$AA$5:$AB$14,2))*G$3)) + IF(Actuals!H65  = "",0,10)))</f>
        <v>0</v>
      </c>
      <c r="H66" s="30">
        <f>if( Actuals!$A65=1,0,(IF(WeeklyRankPoints!H65 &gt; 10,0,(IF(WeeklyRankPoints!H65 = 0,0,VLOOKUP(WeeklyRankPoints!H65,$AA$5:$AB$14,2))*H$3)) + IF(Actuals!I65  = "",0,10)))</f>
        <v>0</v>
      </c>
      <c r="I66" s="30">
        <f>if( Actuals!$A65=1,0,(IF(WeeklyRankPoints!I65 &gt; 10,0,(IF(WeeklyRankPoints!I65 = 0,0,VLOOKUP(WeeklyRankPoints!I65,$AA$5:$AB$14,2))*I$3)) + IF(Actuals!J65  = "",0,10)))</f>
        <v>0</v>
      </c>
      <c r="J66" s="30">
        <f>if( Actuals!$A65=1,0,(IF(WeeklyRankPoints!J65 &gt; 10,0,(IF(WeeklyRankPoints!J65 = 0,0,VLOOKUP(WeeklyRankPoints!J65,$AA$5:$AB$14,2))*J$3)) + IF(Actuals!K65  = "",0,10)))</f>
        <v>0</v>
      </c>
      <c r="K66" s="30">
        <f>if( Actuals!$A65=1,0,(IF(WeeklyRankPoints!K65 &gt; 10,0,(IF(WeeklyRankPoints!K65 = 0,0,VLOOKUP(WeeklyRankPoints!K65,$AA$5:$AB$14,2))*K$3)) + IF(Actuals!L65  = "",0,10)))</f>
        <v>0</v>
      </c>
      <c r="L66" s="30">
        <f>if( Actuals!$A65=1,0,(IF(WeeklyRankPoints!L65 &gt; 10,0,(IF(WeeklyRankPoints!L65 = 0,0,VLOOKUP(WeeklyRankPoints!L65,$AA$5:$AB$14,2))*L$3)) + IF(Actuals!M65  = "",0,10)))</f>
        <v>0</v>
      </c>
      <c r="M66" s="30">
        <f>if( Actuals!$A65=1,0,(IF(WeeklyRankPoints!M65 &gt; 10,0,(IF(WeeklyRankPoints!M65 = 0,0,VLOOKUP(WeeklyRankPoints!M65,$AA$5:$AB$14,2))*M$3)) + IF(Actuals!N65  = "",0,10)))</f>
        <v>0</v>
      </c>
      <c r="N66" s="30">
        <f>if( Actuals!$A65=1,0,(IF(WeeklyRankPoints!N65 &gt; 10,0,(IF(WeeklyRankPoints!N65 = 0,0,VLOOKUP(WeeklyRankPoints!N65,$AA$5:$AB$14,2))*N$3)) + IF(Actuals!O65  = "",0,10)))</f>
        <v>0</v>
      </c>
      <c r="O66" s="30">
        <f>if( Actuals!$A65=1,0,(IF(WeeklyRankPoints!O65 &gt; 10,0,(IF(WeeklyRankPoints!O65 = 0,0,VLOOKUP(WeeklyRankPoints!O65,$AA$5:$AB$14,2))*O$3)) + IF(Actuals!P65  = "",0,10)))</f>
        <v>0</v>
      </c>
      <c r="P66" s="30">
        <f>if( Actuals!$A65=1,0,(IF(WeeklyRankPoints!P65 &gt; 10,0,(IF(WeeklyRankPoints!P65 = 0,0,VLOOKUP(WeeklyRankPoints!P65,$AA$5:$AB$14,2))*P$3)) + IF(Actuals!Q65  = "",0,10)))</f>
        <v>0</v>
      </c>
      <c r="Q66" s="30">
        <f>if( Actuals!$A65=1,0,(IF(WeeklyRankPoints!Q65 &gt; 10,0,(IF(WeeklyRankPoints!Q65 = 0,0,VLOOKUP(WeeklyRankPoints!Q65,$AA$5:$AB$14,2))*Q$3)) + IF(Actuals!R65  = "",0,10)))</f>
        <v>0</v>
      </c>
      <c r="R66" s="32">
        <f t="shared" si="3"/>
        <v>0</v>
      </c>
      <c r="S66" s="33">
        <f t="shared" si="4"/>
        <v>17</v>
      </c>
      <c r="T66" s="30">
        <f>COUNT(Actuals!C65:R65)</f>
        <v>0</v>
      </c>
      <c r="U66" s="32">
        <f t="shared" si="5"/>
        <v>0</v>
      </c>
      <c r="V66" s="20">
        <f>WeeklyRankMoney!R65</f>
        <v>0</v>
      </c>
      <c r="W66" s="20">
        <f>WeeklyRankMoney!S65</f>
        <v>0</v>
      </c>
      <c r="X66" s="20">
        <f>WeeklyRankMoney!T65</f>
        <v>0</v>
      </c>
      <c r="Y66" s="34">
        <f>Strokes!Q65</f>
        <v>0</v>
      </c>
      <c r="Z66" s="27"/>
      <c r="AA66" s="27"/>
      <c r="AB66" s="27"/>
      <c r="AC66" s="27"/>
      <c r="AD66" s="27"/>
      <c r="AE66" s="27"/>
      <c r="AF66" s="27"/>
      <c r="AG66" s="27"/>
    </row>
    <row r="67">
      <c r="A67" s="26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3"/>
      <c r="T67" s="30"/>
      <c r="U67" s="32"/>
      <c r="V67" s="20"/>
      <c r="W67" s="20"/>
      <c r="X67" s="20"/>
      <c r="Z67" s="27"/>
      <c r="AA67" s="27"/>
      <c r="AB67" s="27"/>
      <c r="AC67" s="27"/>
      <c r="AD67" s="27"/>
      <c r="AE67" s="27"/>
      <c r="AF67" s="27"/>
      <c r="AG67" s="27"/>
    </row>
  </sheetData>
  <mergeCells count="1">
    <mergeCell ref="B1:Q1"/>
  </mergeCells>
  <conditionalFormatting sqref="S5:S67">
    <cfRule type="cellIs" dxfId="4" priority="1" operator="lessThan">
      <formula>8</formula>
    </cfRule>
  </conditionalFormatting>
  <conditionalFormatting sqref="B5:Q67">
    <cfRule type="cellIs" dxfId="4" priority="2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2.88"/>
    <col customWidth="1" min="2" max="18" width="8.25"/>
  </cols>
  <sheetData>
    <row r="1">
      <c r="A1" s="19"/>
      <c r="B1" s="18" t="s">
        <v>45</v>
      </c>
      <c r="R1" s="18"/>
    </row>
    <row r="2">
      <c r="A2" s="26" t="s">
        <v>46</v>
      </c>
      <c r="B2" s="30">
        <v>34.0</v>
      </c>
      <c r="C2" s="30">
        <v>35.0</v>
      </c>
      <c r="D2" s="30">
        <v>34.0</v>
      </c>
      <c r="E2" s="38"/>
      <c r="F2" s="38"/>
      <c r="G2" s="20"/>
      <c r="H2" s="38"/>
      <c r="I2" s="20"/>
      <c r="J2" s="20"/>
      <c r="K2" s="38"/>
      <c r="L2" s="20"/>
      <c r="M2" s="38"/>
      <c r="N2" s="38"/>
      <c r="O2" s="20"/>
      <c r="P2" s="38"/>
      <c r="Q2" s="20"/>
      <c r="R2" s="20"/>
    </row>
    <row r="3">
      <c r="A3" s="13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39" t="s">
        <v>9</v>
      </c>
      <c r="I3" s="22" t="s">
        <v>10</v>
      </c>
      <c r="J3" s="22" t="s">
        <v>11</v>
      </c>
      <c r="K3" s="22" t="s">
        <v>12</v>
      </c>
      <c r="L3" s="39" t="s">
        <v>13</v>
      </c>
      <c r="M3" s="22" t="s">
        <v>14</v>
      </c>
      <c r="N3" s="22" t="s">
        <v>15</v>
      </c>
      <c r="O3" s="22" t="s">
        <v>16</v>
      </c>
      <c r="P3" s="39" t="s">
        <v>17</v>
      </c>
      <c r="Q3" s="22" t="s">
        <v>18</v>
      </c>
      <c r="R3" s="22" t="s">
        <v>47</v>
      </c>
    </row>
    <row r="4">
      <c r="A4" s="13" t="str">
        <f>Actuals!B4</f>
        <v>Adrian C</v>
      </c>
      <c r="B4" s="24">
        <f> if( ModifiedAvg!B4 =0,0,  if( ModifiedAvg!B4 &gt;=$B$2, ROUND(($B$2-ModifiedAvg!B4)* (0.75 + (count(Actuals!B4:$C4)/18*0.15)),1), round($B$2 -ModifiedAvg!B4,1)))</f>
        <v>-5.2</v>
      </c>
      <c r="C4" s="24">
        <f> if( ModifiedAvg!C4 =0,0,  if( ModifiedAvg!C4 &gt;=$C$2, ROUND(($C$2-ModifiedAvg!C4)* (0.75 + (count(Actuals!C4:$C4)/18*0.15)),1), round($C$2 -ModifiedAvg!C4,1)))</f>
        <v>-4.4</v>
      </c>
      <c r="D4" s="24">
        <f> if( ModifiedAvg!D4 =0,0,  if( ModifiedAvg!D4 &gt;=$D$2, ROUND(($D$2-ModifiedAvg!D4)*0.75,1), round($D$2 -ModifiedAvg!D4,1)))</f>
        <v>-5.2</v>
      </c>
      <c r="E4" s="24">
        <f> if( ModifiedAvg!E4 =0,0,  if( ModifiedAvg!E4 &gt;=36, ROUND((36-ModifiedAvg!E4)*0.75,1), round(36 -ModifiedAvg!E4,1)))</f>
        <v>-3.7</v>
      </c>
      <c r="F4" s="24">
        <f> if( ModifiedAvg!F4 =0,0,  if( ModifiedAvg!F4 &gt;=36, ROUND((36-ModifiedAvg!F4)* (0.75 + (count(Actuals!C4:F4)/18*0.15)),1), round(36 -ModifiedAvg!F4,1)))</f>
        <v>-3.7</v>
      </c>
      <c r="G4" s="24">
        <f> if( ModifiedAvg!G4 =0,0,  if( ModifiedAvg!G4 &gt;=36, ROUND((36-ModifiedAvg!G4)* (0.75 + (count(Actuals!$C4:G4)/18*0.15)),1), round(36 -ModifiedAvg!G4,1)))</f>
        <v>-3.7</v>
      </c>
      <c r="H4" s="24">
        <f> if( ModifiedAvg!H4 =0,0,  if( ModifiedAvg!H4 &gt;=36, ROUND((36-ModifiedAvg!H4)* (0.83),1), round(36 -ModifiedAvg!H4,1)))</f>
        <v>-4.1</v>
      </c>
      <c r="I4" s="24">
        <f> if( ModifiedAvg!I4 =0,0,  if( ModifiedAvg!I4 &gt;=36, ROUND((36-ModifiedAvg!I4)* (0.83),1), round(36 -ModifiedAvg!I4,1)))</f>
        <v>-4.1</v>
      </c>
      <c r="J4" s="24">
        <f> if( ModifiedAvg!J4 =0,0,  if( ModifiedAvg!J4 &gt;=36, ROUND((36-ModifiedAvg!J4)* (0.83),1), round(36 -ModifiedAvg!J4,1)))</f>
        <v>-4.1</v>
      </c>
      <c r="K4" s="24">
        <f> if( ModifiedAvg!K4 =0,0,  if( ModifiedAvg!K4 &gt;=36, ROUND((36-ModifiedAvg!K4)* (0.83),1), round(36 -ModifiedAvg!K4,1)))</f>
        <v>-4.1</v>
      </c>
      <c r="L4" s="24">
        <f> if( ModifiedAvg!L4 =0,0,  if( ModifiedAvg!L4 &gt;=36, ROUND((36-ModifiedAvg!L4)* (0.83),1), round(36 -ModifiedAvg!L4,1)))</f>
        <v>-4.1</v>
      </c>
      <c r="M4" s="24">
        <f> if( ModifiedAvg!M4 =0,0,  if( ModifiedAvg!M4 &gt;=36, ROUND((36-ModifiedAvg!M4)* (0.83),1), round(36 -ModifiedAvg!M4,1)))</f>
        <v>-4.1</v>
      </c>
      <c r="N4" s="24">
        <f> if( ModifiedAvg!N4 =0,0,  if( ModifiedAvg!N4 &gt;=36, ROUND((36-ModifiedAvg!N4)* (0.83),1), round(36 -ModifiedAvg!N4,1)))</f>
        <v>-4.1</v>
      </c>
      <c r="O4" s="24">
        <f> if( ModifiedAvg!O4 =0,0,  if( ModifiedAvg!O4 &gt;=36, ROUND((36-ModifiedAvg!O4)* (0.83),1), round(36 -ModifiedAvg!O4,1)))</f>
        <v>-4.1</v>
      </c>
      <c r="P4" s="24">
        <f> if( ModifiedAvg!P4 =0,0,  if( ModifiedAvg!P4 &gt;=36, ROUND((36-ModifiedAvg!P4)* (0.83),1), round(36 -ModifiedAvg!P4,1)))</f>
        <v>-4.1</v>
      </c>
      <c r="Q4" s="24">
        <f> if( ModifiedAvg!Q4 =0,0,  if( ModifiedAvg!Q4 &gt;=36, ROUND((36-ModifiedAvg!Q4)* (0.83),1), round(36 -ModifiedAvg!Q4,1)))</f>
        <v>-4.1</v>
      </c>
      <c r="R4" s="24">
        <f> if( ModifiedAvg!R4 =0,0,  if( ModifiedAvg!R4 &gt;=36, ROUND((36-ModifiedAvg!R4)* (0.75 + (count(Actuals!$C4:R4)/18*0.15)),1), round((36 -ModifiedAvg!R4)/2,1)))</f>
        <v>0</v>
      </c>
    </row>
    <row r="5">
      <c r="A5" s="13" t="str">
        <f>Actuals!B5</f>
        <v>Alan D</v>
      </c>
      <c r="B5" s="24">
        <f> if( ModifiedAvg!B5 =0,0,  if( ModifiedAvg!B5 &gt;=$B$2, ROUND(($B$2-ModifiedAvg!B5)* (0.75 + (count(Actuals!B5:$C5)/18*0.15)),1), round($B$2 -ModifiedAvg!B5,1)))</f>
        <v>-0.9</v>
      </c>
      <c r="C5" s="24">
        <f> if( ModifiedAvg!C5 =0,0,  if( ModifiedAvg!C5 &gt;=$C$2, ROUND(($C$2-ModifiedAvg!C5)* (0.75 + (count(Actuals!C5:$C5)/18*0.15)),1), round($C$2 -ModifiedAvg!C5,1)))</f>
        <v>-0.2</v>
      </c>
      <c r="D5" s="24">
        <f> if( ModifiedAvg!D5 =0,0,  if( ModifiedAvg!D5 &gt;=$D$2, ROUND(($D$2-ModifiedAvg!D5)*0.75,1), round($D$2 -ModifiedAvg!D5,1)))</f>
        <v>-0.9</v>
      </c>
      <c r="E5" s="24">
        <f> if( ModifiedAvg!E5 =0,0,  if( ModifiedAvg!E5 &gt;=36, ROUND((36-ModifiedAvg!E5)*0.75,1), round(36 -ModifiedAvg!E5,1)))</f>
        <v>0.8</v>
      </c>
      <c r="F5" s="24">
        <f> if( ModifiedAvg!F5 =0,0,  if( ModifiedAvg!F5 &gt;=36, ROUND((36-ModifiedAvg!F5)* (0.75 + (count(Actuals!C5:F5)/18*0.15)),1), round(36 -ModifiedAvg!F5,1)))</f>
        <v>0.8</v>
      </c>
      <c r="G5" s="24">
        <f> if( ModifiedAvg!G5 =0,0,  if( ModifiedAvg!G5 &gt;=36, ROUND((36-ModifiedAvg!G5)* (0.75 + (count(Actuals!$C5:G5)/18*0.15)),1), round(36 -ModifiedAvg!G5,1)))</f>
        <v>0.8</v>
      </c>
      <c r="H5" s="24">
        <f> if( ModifiedAvg!H5 =0,0,  if( ModifiedAvg!H5 &gt;=36, ROUND((36-ModifiedAvg!H5)* (0.83),1), round(36 -ModifiedAvg!H5,1)))</f>
        <v>0.8</v>
      </c>
      <c r="I5" s="24">
        <f> if( ModifiedAvg!I5 =0,0,  if( ModifiedAvg!I5 &gt;=36, ROUND((36-ModifiedAvg!I5)* (0.83),1), round(36 -ModifiedAvg!I5,1)))</f>
        <v>0.8</v>
      </c>
      <c r="J5" s="24">
        <f> if( ModifiedAvg!J5 =0,0,  if( ModifiedAvg!J5 &gt;=36, ROUND((36-ModifiedAvg!J5)* (0.83),1), round(36 -ModifiedAvg!J5,1)))</f>
        <v>0.8</v>
      </c>
      <c r="K5" s="24">
        <f> if( ModifiedAvg!K5 =0,0,  if( ModifiedAvg!K5 &gt;=36, ROUND((36-ModifiedAvg!K5)* (0.83),1), round(36 -ModifiedAvg!K5,1)))</f>
        <v>0.8</v>
      </c>
      <c r="L5" s="24">
        <f> if( ModifiedAvg!L5 =0,0,  if( ModifiedAvg!L5 &gt;=36, ROUND((36-ModifiedAvg!L5)* (0.83),1), round(36 -ModifiedAvg!L5,1)))</f>
        <v>0.8</v>
      </c>
      <c r="M5" s="24">
        <f> if( ModifiedAvg!M5 =0,0,  if( ModifiedAvg!M5 &gt;=36, ROUND((36-ModifiedAvg!M5)* (0.83),1), round(36 -ModifiedAvg!M5,1)))</f>
        <v>0.8</v>
      </c>
      <c r="N5" s="24">
        <f> if( ModifiedAvg!N5 =0,0,  if( ModifiedAvg!N5 &gt;=36, ROUND((36-ModifiedAvg!N5)* (0.83),1), round(36 -ModifiedAvg!N5,1)))</f>
        <v>0.8</v>
      </c>
      <c r="O5" s="24">
        <f> if( ModifiedAvg!O5 =0,0,  if( ModifiedAvg!O5 &gt;=36, ROUND((36-ModifiedAvg!O5)* (0.83),1), round(36 -ModifiedAvg!O5,1)))</f>
        <v>0.8</v>
      </c>
      <c r="P5" s="24">
        <f> if( ModifiedAvg!P5 =0,0,  if( ModifiedAvg!P5 &gt;=36, ROUND((36-ModifiedAvg!P5)* (0.83),1), round(36 -ModifiedAvg!P5,1)))</f>
        <v>0.8</v>
      </c>
      <c r="Q5" s="24">
        <f> if( ModifiedAvg!Q5 =0,0,  if( ModifiedAvg!Q5 &gt;=36, ROUND((36-ModifiedAvg!Q5)* (0.83),1), round(36 -ModifiedAvg!Q5,1)))</f>
        <v>0.8</v>
      </c>
      <c r="R5" s="24">
        <f> if( ModifiedAvg!R5 =0,0,  if( ModifiedAvg!R5 &gt;=36, ROUND((36-ModifiedAvg!R5)* (0.75 + (count(Actuals!$C5:R5)/18*0.15)),1), round((36 -ModifiedAvg!R5)/2,1)))</f>
        <v>0</v>
      </c>
    </row>
    <row r="6">
      <c r="A6" s="13" t="str">
        <f>Actuals!B6</f>
        <v>Baxter C</v>
      </c>
      <c r="B6" s="24">
        <f> if( ModifiedAvg!B6 =0,0,  if( ModifiedAvg!B6 &gt;=$B$2, ROUND(($B$2-ModifiedAvg!B6)* (0.75 + (count(Actuals!B6:$C6)/18*0.15)),1), round($B$2 -ModifiedAvg!B6,1)))</f>
        <v>0</v>
      </c>
      <c r="C6" s="24">
        <f> if( ModifiedAvg!C6 =0,0,  if( ModifiedAvg!C6 &gt;=$C$2, ROUND(($C$2-ModifiedAvg!C6)* (0.75 + (count(Actuals!C6:$C6)/18*0.15)),1), round($C$2 -ModifiedAvg!C6,1)))</f>
        <v>0</v>
      </c>
      <c r="D6" s="24">
        <f> if( ModifiedAvg!D6 =0,0,  if( ModifiedAvg!D6 &gt;=$D$2, ROUND(($D$2-ModifiedAvg!D6)*0.75,1), round($D$2 -ModifiedAvg!D6,1)))</f>
        <v>0</v>
      </c>
      <c r="E6" s="24">
        <f> if( ModifiedAvg!E6 =0,0,  if( ModifiedAvg!E6 &gt;=36, ROUND((36-ModifiedAvg!E6)*0.75,1), round(36 -ModifiedAvg!E6,1)))</f>
        <v>0</v>
      </c>
      <c r="F6" s="24">
        <f> if( ModifiedAvg!F6 =0,0,  if( ModifiedAvg!F6 &gt;=36, ROUND((36-ModifiedAvg!F6)* (0.75 + (count(Actuals!C6:F6)/18*0.15)),1), round(36 -ModifiedAvg!F6,1)))</f>
        <v>0</v>
      </c>
      <c r="G6" s="24">
        <f> if( ModifiedAvg!G6 =0,0,  if( ModifiedAvg!G6 &gt;=36, ROUND((36-ModifiedAvg!G6)* (0.75 + (count(Actuals!$C6:G6)/18*0.15)),1), round(36 -ModifiedAvg!G6,1)))</f>
        <v>0</v>
      </c>
      <c r="H6" s="24">
        <f> if( ModifiedAvg!H6 =0,0,  if( ModifiedAvg!H6 &gt;=36, ROUND((36-ModifiedAvg!H6)* (0.83),1), round(36 -ModifiedAvg!H6,1)))</f>
        <v>0</v>
      </c>
      <c r="I6" s="24">
        <f> if( ModifiedAvg!I6 =0,0,  if( ModifiedAvg!I6 &gt;=36, ROUND((36-ModifiedAvg!I6)* (0.83),1), round(36 -ModifiedAvg!I6,1)))</f>
        <v>0</v>
      </c>
      <c r="J6" s="24">
        <f> if( ModifiedAvg!J6 =0,0,  if( ModifiedAvg!J6 &gt;=36, ROUND((36-ModifiedAvg!J6)* (0.83),1), round(36 -ModifiedAvg!J6,1)))</f>
        <v>0</v>
      </c>
      <c r="K6" s="24">
        <f> if( ModifiedAvg!K6 =0,0,  if( ModifiedAvg!K6 &gt;=36, ROUND((36-ModifiedAvg!K6)* (0.83),1), round(36 -ModifiedAvg!K6,1)))</f>
        <v>0</v>
      </c>
      <c r="L6" s="24">
        <f> if( ModifiedAvg!L6 =0,0,  if( ModifiedAvg!L6 &gt;=36, ROUND((36-ModifiedAvg!L6)* (0.83),1), round(36 -ModifiedAvg!L6,1)))</f>
        <v>0</v>
      </c>
      <c r="M6" s="24">
        <f> if( ModifiedAvg!M6 =0,0,  if( ModifiedAvg!M6 &gt;=36, ROUND((36-ModifiedAvg!M6)* (0.83),1), round(36 -ModifiedAvg!M6,1)))</f>
        <v>0</v>
      </c>
      <c r="N6" s="24">
        <f> if( ModifiedAvg!N6 =0,0,  if( ModifiedAvg!N6 &gt;=36, ROUND((36-ModifiedAvg!N6)* (0.83),1), round(36 -ModifiedAvg!N6,1)))</f>
        <v>0</v>
      </c>
      <c r="O6" s="24">
        <f> if( ModifiedAvg!O6 =0,0,  if( ModifiedAvg!O6 &gt;=36, ROUND((36-ModifiedAvg!O6)* (0.83),1), round(36 -ModifiedAvg!O6,1)))</f>
        <v>0</v>
      </c>
      <c r="P6" s="24">
        <f> if( ModifiedAvg!P6 =0,0,  if( ModifiedAvg!P6 &gt;=36, ROUND((36-ModifiedAvg!P6)* (0.83),1), round(36 -ModifiedAvg!P6,1)))</f>
        <v>0</v>
      </c>
      <c r="Q6" s="24">
        <f> if( ModifiedAvg!Q6 =0,0,  if( ModifiedAvg!Q6 &gt;=36, ROUND((36-ModifiedAvg!Q6)* (0.83),1), round(36 -ModifiedAvg!Q6,1)))</f>
        <v>0</v>
      </c>
      <c r="R6" s="24">
        <f> if( ModifiedAvg!R6 =0,0,  if( ModifiedAvg!R6 &gt;=36, ROUND((36-ModifiedAvg!R6)* (0.75 + (count(Actuals!$C6:R6)/18*0.15)),1), round((36 -ModifiedAvg!R6)/2,1)))</f>
        <v>0</v>
      </c>
    </row>
    <row r="7">
      <c r="A7" s="13" t="str">
        <f>Actuals!B7</f>
        <v>Bill Morton</v>
      </c>
      <c r="B7" s="24">
        <f> if( ModifiedAvg!B7 =0,0,  if( ModifiedAvg!B7 &gt;=$B$2, ROUND(($B$2-ModifiedAvg!B7)* (0.75 + (count(Actuals!B7:$C7)/18*0.15)),1), round($B$2 -ModifiedAvg!B7,1)))</f>
        <v>-10.1</v>
      </c>
      <c r="C7" s="24">
        <f> if( ModifiedAvg!C7 =0,0,  if( ModifiedAvg!C7 &gt;=$C$2, ROUND(($C$2-ModifiedAvg!C7)* (0.75 + (count(Actuals!C7:$C7)/18*0.15)),1), round($C$2 -ModifiedAvg!C7,1)))</f>
        <v>-9.3</v>
      </c>
      <c r="D7" s="24">
        <f> if( ModifiedAvg!D7 =0,0,  if( ModifiedAvg!D7 &gt;=$D$2, ROUND(($D$2-ModifiedAvg!D7)*0.75,1), round($D$2 -ModifiedAvg!D7,1)))</f>
        <v>-10.1</v>
      </c>
      <c r="E7" s="24">
        <f> if( ModifiedAvg!E7 =0,0,  if( ModifiedAvg!E7 &gt;=36, ROUND((36-ModifiedAvg!E7)*0.75,1), round(36 -ModifiedAvg!E7,1)))</f>
        <v>-8.6</v>
      </c>
      <c r="F7" s="24">
        <f> if( ModifiedAvg!F7 =0,0,  if( ModifiedAvg!F7 &gt;=36, ROUND((36-ModifiedAvg!F7)* (0.75 + (count(Actuals!C7:F7)/18*0.15)),1), round(36 -ModifiedAvg!F7,1)))</f>
        <v>-8.6</v>
      </c>
      <c r="G7" s="24">
        <f> if( ModifiedAvg!G7 =0,0,  if( ModifiedAvg!G7 &gt;=36, ROUND((36-ModifiedAvg!G7)* (0.75 + (count(Actuals!$C7:G7)/18*0.15)),1), round(36 -ModifiedAvg!G7,1)))</f>
        <v>-8.6</v>
      </c>
      <c r="H7" s="24">
        <f> if( ModifiedAvg!H7 =0,0,  if( ModifiedAvg!H7 &gt;=36, ROUND((36-ModifiedAvg!H7)* (0.83),1), round(36 -ModifiedAvg!H7,1)))</f>
        <v>-9.5</v>
      </c>
      <c r="I7" s="24">
        <f> if( ModifiedAvg!I7 =0,0,  if( ModifiedAvg!I7 &gt;=36, ROUND((36-ModifiedAvg!I7)* (0.83),1), round(36 -ModifiedAvg!I7,1)))</f>
        <v>-9.5</v>
      </c>
      <c r="J7" s="24">
        <f> if( ModifiedAvg!J7 =0,0,  if( ModifiedAvg!J7 &gt;=36, ROUND((36-ModifiedAvg!J7)* (0.83),1), round(36 -ModifiedAvg!J7,1)))</f>
        <v>-9.5</v>
      </c>
      <c r="K7" s="24">
        <f> if( ModifiedAvg!K7 =0,0,  if( ModifiedAvg!K7 &gt;=36, ROUND((36-ModifiedAvg!K7)* (0.83),1), round(36 -ModifiedAvg!K7,1)))</f>
        <v>-9.5</v>
      </c>
      <c r="L7" s="24">
        <f> if( ModifiedAvg!L7 =0,0,  if( ModifiedAvg!L7 &gt;=36, ROUND((36-ModifiedAvg!L7)* (0.83),1), round(36 -ModifiedAvg!L7,1)))</f>
        <v>-9.5</v>
      </c>
      <c r="M7" s="24">
        <f> if( ModifiedAvg!M7 =0,0,  if( ModifiedAvg!M7 &gt;=36, ROUND((36-ModifiedAvg!M7)* (0.83),1), round(36 -ModifiedAvg!M7,1)))</f>
        <v>-9.5</v>
      </c>
      <c r="N7" s="24">
        <f> if( ModifiedAvg!N7 =0,0,  if( ModifiedAvg!N7 &gt;=36, ROUND((36-ModifiedAvg!N7)* (0.83),1), round(36 -ModifiedAvg!N7,1)))</f>
        <v>-9.5</v>
      </c>
      <c r="O7" s="24">
        <f> if( ModifiedAvg!O7 =0,0,  if( ModifiedAvg!O7 &gt;=36, ROUND((36-ModifiedAvg!O7)* (0.83),1), round(36 -ModifiedAvg!O7,1)))</f>
        <v>-9.5</v>
      </c>
      <c r="P7" s="24">
        <f> if( ModifiedAvg!P7 =0,0,  if( ModifiedAvg!P7 &gt;=36, ROUND((36-ModifiedAvg!P7)* (0.83),1), round(36 -ModifiedAvg!P7,1)))</f>
        <v>-9.5</v>
      </c>
      <c r="Q7" s="24">
        <f> if( ModifiedAvg!Q7 =0,0,  if( ModifiedAvg!Q7 &gt;=36, ROUND((36-ModifiedAvg!Q7)* (0.83),1), round(36 -ModifiedAvg!Q7,1)))</f>
        <v>-9.5</v>
      </c>
      <c r="R7" s="24">
        <f> if( ModifiedAvg!R7 =0,0,  if( ModifiedAvg!R7 &gt;=36, ROUND((36-ModifiedAvg!R7)* (0.75 + (count(Actuals!$C7:R7)/18*0.15)),1), round((36 -ModifiedAvg!R7)/2,1)))</f>
        <v>0</v>
      </c>
    </row>
    <row r="8">
      <c r="A8" s="13" t="str">
        <f>Actuals!B8</f>
        <v>Brian M</v>
      </c>
      <c r="B8" s="24">
        <f> if( ModifiedAvg!B8 =0,0,  if( ModifiedAvg!B8 &gt;=$B$2, ROUND(($B$2-ModifiedAvg!B8)* (0.75 + (count(Actuals!B8:$C8)/18*0.15)),1), round($B$2 -ModifiedAvg!B8,1)))</f>
        <v>-6.3</v>
      </c>
      <c r="C8" s="24">
        <f> if( ModifiedAvg!C8 =0,0,  if( ModifiedAvg!C8 &gt;=$C$2, ROUND(($C$2-ModifiedAvg!C8)* (0.75 + (count(Actuals!C8:$C8)/18*0.15)),1), round($C$2 -ModifiedAvg!C8,1)))</f>
        <v>-4.3</v>
      </c>
      <c r="D8" s="24">
        <f> if( ModifiedAvg!D8 =0,0,  if( ModifiedAvg!D8 &gt;=$D$2, ROUND(($D$2-ModifiedAvg!D8)*0.75,1), round($D$2 -ModifiedAvg!D8,1)))</f>
        <v>-4.4</v>
      </c>
      <c r="E8" s="24">
        <f> if( ModifiedAvg!E8 =0,0,  if( ModifiedAvg!E8 &gt;=36, ROUND((36-ModifiedAvg!E8)*0.75,1), round(36 -ModifiedAvg!E8,1)))</f>
        <v>-3.2</v>
      </c>
      <c r="F8" s="24">
        <f> if( ModifiedAvg!F8 =0,0,  if( ModifiedAvg!F8 &gt;=36, ROUND((36-ModifiedAvg!F8)* (0.75 + (count(Actuals!C8:F8)/18*0.15)),1), round(36 -ModifiedAvg!F8,1)))</f>
        <v>-3.3</v>
      </c>
      <c r="G8" s="24">
        <f> if( ModifiedAvg!G8 =0,0,  if( ModifiedAvg!G8 &gt;=36, ROUND((36-ModifiedAvg!G8)* (0.75 + (count(Actuals!$C8:G8)/18*0.15)),1), round(36 -ModifiedAvg!G8,1)))</f>
        <v>-3.3</v>
      </c>
      <c r="H8" s="24">
        <f> if( ModifiedAvg!H8 =0,0,  if( ModifiedAvg!H8 &gt;=36, ROUND((36-ModifiedAvg!H8)* (0.83),1), round(36 -ModifiedAvg!H8,1)))</f>
        <v>-3.5</v>
      </c>
      <c r="I8" s="24">
        <f> if( ModifiedAvg!I8 =0,0,  if( ModifiedAvg!I8 &gt;=36, ROUND((36-ModifiedAvg!I8)* (0.83),1), round(36 -ModifiedAvg!I8,1)))</f>
        <v>-3.5</v>
      </c>
      <c r="J8" s="24">
        <f> if( ModifiedAvg!J8 =0,0,  if( ModifiedAvg!J8 &gt;=36, ROUND((36-ModifiedAvg!J8)* (0.83),1), round(36 -ModifiedAvg!J8,1)))</f>
        <v>-3.5</v>
      </c>
      <c r="K8" s="24">
        <f> if( ModifiedAvg!K8 =0,0,  if( ModifiedAvg!K8 &gt;=36, ROUND((36-ModifiedAvg!K8)* (0.83),1), round(36 -ModifiedAvg!K8,1)))</f>
        <v>-3.5</v>
      </c>
      <c r="L8" s="24">
        <f> if( ModifiedAvg!L8 =0,0,  if( ModifiedAvg!L8 &gt;=36, ROUND((36-ModifiedAvg!L8)* (0.83),1), round(36 -ModifiedAvg!L8,1)))</f>
        <v>-3.5</v>
      </c>
      <c r="M8" s="24">
        <f> if( ModifiedAvg!M8 =0,0,  if( ModifiedAvg!M8 &gt;=36, ROUND((36-ModifiedAvg!M8)* (0.83),1), round(36 -ModifiedAvg!M8,1)))</f>
        <v>-3.5</v>
      </c>
      <c r="N8" s="24">
        <f> if( ModifiedAvg!N8 =0,0,  if( ModifiedAvg!N8 &gt;=36, ROUND((36-ModifiedAvg!N8)* (0.83),1), round(36 -ModifiedAvg!N8,1)))</f>
        <v>-3.5</v>
      </c>
      <c r="O8" s="24">
        <f> if( ModifiedAvg!O8 =0,0,  if( ModifiedAvg!O8 &gt;=36, ROUND((36-ModifiedAvg!O8)* (0.83),1), round(36 -ModifiedAvg!O8,1)))</f>
        <v>-3.5</v>
      </c>
      <c r="P8" s="24">
        <f> if( ModifiedAvg!P8 =0,0,  if( ModifiedAvg!P8 &gt;=36, ROUND((36-ModifiedAvg!P8)* (0.83),1), round(36 -ModifiedAvg!P8,1)))</f>
        <v>-3.5</v>
      </c>
      <c r="Q8" s="24">
        <f> if( ModifiedAvg!Q8 =0,0,  if( ModifiedAvg!Q8 &gt;=36, ROUND((36-ModifiedAvg!Q8)* (0.83),1), round(36 -ModifiedAvg!Q8,1)))</f>
        <v>-3.5</v>
      </c>
      <c r="R8" s="24">
        <f> if( ModifiedAvg!R8 =0,0,  if( ModifiedAvg!R8 &gt;=36, ROUND((36-ModifiedAvg!R8)* (0.75 + (count(Actuals!$C8:R8)/18*0.15)),1), round((36 -ModifiedAvg!R8)/2,1)))</f>
        <v>0</v>
      </c>
    </row>
    <row r="9">
      <c r="A9" s="13" t="str">
        <f>Actuals!B9</f>
        <v>Bruce Marburger</v>
      </c>
      <c r="B9" s="24">
        <f> if( ModifiedAvg!B9 =0,0,  if( ModifiedAvg!B9 &gt;=$B$2, ROUND(($B$2-ModifiedAvg!B9)* (0.75 + (count(Actuals!B9:$C9)/18*0.15)),1), round($B$2 -ModifiedAvg!B9,1)))</f>
        <v>-12.9</v>
      </c>
      <c r="C9" s="24">
        <f> if( ModifiedAvg!C9 =0,0,  if( ModifiedAvg!C9 &gt;=$C$2, ROUND(($C$2-ModifiedAvg!C9)* (0.75 + (count(Actuals!C9:$C9)/18*0.15)),1), round($C$2 -ModifiedAvg!C9,1)))</f>
        <v>-12.1</v>
      </c>
      <c r="D9" s="24">
        <f> if( ModifiedAvg!D9 =0,0,  if( ModifiedAvg!D9 &gt;=$D$2, ROUND(($D$2-ModifiedAvg!D9)*0.75,1), round($D$2 -ModifiedAvg!D9,1)))</f>
        <v>-12.7</v>
      </c>
      <c r="E9" s="24">
        <f> if( ModifiedAvg!E9 =0,0,  if( ModifiedAvg!E9 &gt;=36, ROUND((36-ModifiedAvg!E9)*0.75,1), round(36 -ModifiedAvg!E9,1)))</f>
        <v>-11.2</v>
      </c>
      <c r="F9" s="24">
        <f> if( ModifiedAvg!F9 =0,0,  if( ModifiedAvg!F9 &gt;=36, ROUND((36-ModifiedAvg!F9)* (0.75 + (count(Actuals!C9:F9)/18*0.15)),1), round(36 -ModifiedAvg!F9,1)))</f>
        <v>-11.4</v>
      </c>
      <c r="G9" s="24">
        <f> if( ModifiedAvg!G9 =0,0,  if( ModifiedAvg!G9 &gt;=36, ROUND((36-ModifiedAvg!G9)* (0.75 + (count(Actuals!$C9:G9)/18*0.15)),1), round(36 -ModifiedAvg!G9,1)))</f>
        <v>-11.4</v>
      </c>
      <c r="H9" s="24">
        <f> if( ModifiedAvg!H9 =0,0,  if( ModifiedAvg!H9 &gt;=36, ROUND((36-ModifiedAvg!H9)* (0.83),1), round(36 -ModifiedAvg!H9,1)))</f>
        <v>-12.4</v>
      </c>
      <c r="I9" s="24">
        <f> if( ModifiedAvg!I9 =0,0,  if( ModifiedAvg!I9 &gt;=36, ROUND((36-ModifiedAvg!I9)* (0.83),1), round(36 -ModifiedAvg!I9,1)))</f>
        <v>-12.4</v>
      </c>
      <c r="J9" s="24">
        <f> if( ModifiedAvg!J9 =0,0,  if( ModifiedAvg!J9 &gt;=36, ROUND((36-ModifiedAvg!J9)* (0.83),1), round(36 -ModifiedAvg!J9,1)))</f>
        <v>-12.4</v>
      </c>
      <c r="K9" s="24">
        <f> if( ModifiedAvg!K9 =0,0,  if( ModifiedAvg!K9 &gt;=36, ROUND((36-ModifiedAvg!K9)* (0.83),1), round(36 -ModifiedAvg!K9,1)))</f>
        <v>-12.4</v>
      </c>
      <c r="L9" s="24">
        <f> if( ModifiedAvg!L9 =0,0,  if( ModifiedAvg!L9 &gt;=36, ROUND((36-ModifiedAvg!L9)* (0.83),1), round(36 -ModifiedAvg!L9,1)))</f>
        <v>-12.4</v>
      </c>
      <c r="M9" s="24">
        <f> if( ModifiedAvg!M9 =0,0,  if( ModifiedAvg!M9 &gt;=36, ROUND((36-ModifiedAvg!M9)* (0.83),1), round(36 -ModifiedAvg!M9,1)))</f>
        <v>-12.4</v>
      </c>
      <c r="N9" s="24">
        <f> if( ModifiedAvg!N9 =0,0,  if( ModifiedAvg!N9 &gt;=36, ROUND((36-ModifiedAvg!N9)* (0.83),1), round(36 -ModifiedAvg!N9,1)))</f>
        <v>-12.4</v>
      </c>
      <c r="O9" s="24">
        <f> if( ModifiedAvg!O9 =0,0,  if( ModifiedAvg!O9 &gt;=36, ROUND((36-ModifiedAvg!O9)* (0.83),1), round(36 -ModifiedAvg!O9,1)))</f>
        <v>-12.4</v>
      </c>
      <c r="P9" s="24">
        <f> if( ModifiedAvg!P9 =0,0,  if( ModifiedAvg!P9 &gt;=36, ROUND((36-ModifiedAvg!P9)* (0.83),1), round(36 -ModifiedAvg!P9,1)))</f>
        <v>-12.4</v>
      </c>
      <c r="Q9" s="24">
        <f> if( ModifiedAvg!Q9 =0,0,  if( ModifiedAvg!Q9 &gt;=36, ROUND((36-ModifiedAvg!Q9)* (0.83),1), round(36 -ModifiedAvg!Q9,1)))</f>
        <v>-12.4</v>
      </c>
      <c r="R9" s="24">
        <f> if( ModifiedAvg!R9 =0,0,  if( ModifiedAvg!R9 &gt;=36, ROUND((36-ModifiedAvg!R9)* (0.75 + (count(Actuals!$C9:R9)/18*0.15)),1), round((36 -ModifiedAvg!R9)/2,1)))</f>
        <v>0</v>
      </c>
    </row>
    <row r="10">
      <c r="A10" s="13" t="str">
        <f>Actuals!B10</f>
        <v>Cole L</v>
      </c>
      <c r="B10" s="24">
        <f> if( ModifiedAvg!B10 =0,0,  if( ModifiedAvg!B10 &gt;=$B$2, ROUND(($B$2-ModifiedAvg!B10)* (0.75 + (count(Actuals!B10:$C10)/18*0.15)),1), round($B$2 -ModifiedAvg!B10,1)))</f>
        <v>-4</v>
      </c>
      <c r="C10" s="24">
        <f> if( ModifiedAvg!C10 =0,0,  if( ModifiedAvg!C10 &gt;=$C$2, ROUND(($C$2-ModifiedAvg!C10)* (0.75 + (count(Actuals!C10:$C10)/18*0.15)),1), round($C$2 -ModifiedAvg!C10,1)))</f>
        <v>-3.2</v>
      </c>
      <c r="D10" s="24">
        <f> if( ModifiedAvg!D10 =0,0,  if( ModifiedAvg!D10 &gt;=$D$2, ROUND(($D$2-ModifiedAvg!D10)*0.75,1), round($D$2 -ModifiedAvg!D10,1)))</f>
        <v>-4</v>
      </c>
      <c r="E10" s="24">
        <f> if( ModifiedAvg!E10 =0,0,  if( ModifiedAvg!E10 &gt;=36, ROUND((36-ModifiedAvg!E10)*0.75,1), round(36 -ModifiedAvg!E10,1)))</f>
        <v>-2.5</v>
      </c>
      <c r="F10" s="24">
        <f> if( ModifiedAvg!F10 =0,0,  if( ModifiedAvg!F10 &gt;=36, ROUND((36-ModifiedAvg!F10)* (0.75 + (count(Actuals!C10:F10)/18*0.15)),1), round(36 -ModifiedAvg!F10,1)))</f>
        <v>-2.5</v>
      </c>
      <c r="G10" s="24">
        <f> if( ModifiedAvg!G10 =0,0,  if( ModifiedAvg!G10 &gt;=36, ROUND((36-ModifiedAvg!G10)* (0.75 + (count(Actuals!$C10:G10)/18*0.15)),1), round(36 -ModifiedAvg!G10,1)))</f>
        <v>-2.5</v>
      </c>
      <c r="H10" s="24">
        <f> if( ModifiedAvg!H10 =0,0,  if( ModifiedAvg!H10 &gt;=36, ROUND((36-ModifiedAvg!H10)* (0.83),1), round(36 -ModifiedAvg!H10,1)))</f>
        <v>-2.8</v>
      </c>
      <c r="I10" s="24">
        <f> if( ModifiedAvg!I10 =0,0,  if( ModifiedAvg!I10 &gt;=36, ROUND((36-ModifiedAvg!I10)* (0.83),1), round(36 -ModifiedAvg!I10,1)))</f>
        <v>-2.8</v>
      </c>
      <c r="J10" s="24">
        <f> if( ModifiedAvg!J10 =0,0,  if( ModifiedAvg!J10 &gt;=36, ROUND((36-ModifiedAvg!J10)* (0.83),1), round(36 -ModifiedAvg!J10,1)))</f>
        <v>-2.8</v>
      </c>
      <c r="K10" s="24">
        <f> if( ModifiedAvg!K10 =0,0,  if( ModifiedAvg!K10 &gt;=36, ROUND((36-ModifiedAvg!K10)* (0.83),1), round(36 -ModifiedAvg!K10,1)))</f>
        <v>-2.8</v>
      </c>
      <c r="L10" s="24">
        <f> if( ModifiedAvg!L10 =0,0,  if( ModifiedAvg!L10 &gt;=36, ROUND((36-ModifiedAvg!L10)* (0.83),1), round(36 -ModifiedAvg!L10,1)))</f>
        <v>-2.8</v>
      </c>
      <c r="M10" s="24">
        <f> if( ModifiedAvg!M10 =0,0,  if( ModifiedAvg!M10 &gt;=36, ROUND((36-ModifiedAvg!M10)* (0.83),1), round(36 -ModifiedAvg!M10,1)))</f>
        <v>-2.8</v>
      </c>
      <c r="N10" s="24">
        <f> if( ModifiedAvg!N10 =0,0,  if( ModifiedAvg!N10 &gt;=36, ROUND((36-ModifiedAvg!N10)* (0.83),1), round(36 -ModifiedAvg!N10,1)))</f>
        <v>-2.8</v>
      </c>
      <c r="O10" s="24">
        <f> if( ModifiedAvg!O10 =0,0,  if( ModifiedAvg!O10 &gt;=36, ROUND((36-ModifiedAvg!O10)* (0.83),1), round(36 -ModifiedAvg!O10,1)))</f>
        <v>-2.8</v>
      </c>
      <c r="P10" s="24">
        <f> if( ModifiedAvg!P10 =0,0,  if( ModifiedAvg!P10 &gt;=36, ROUND((36-ModifiedAvg!P10)* (0.83),1), round(36 -ModifiedAvg!P10,1)))</f>
        <v>-2.8</v>
      </c>
      <c r="Q10" s="24">
        <f> if( ModifiedAvg!Q10 =0,0,  if( ModifiedAvg!Q10 &gt;=36, ROUND((36-ModifiedAvg!Q10)* (0.83),1), round(36 -ModifiedAvg!Q10,1)))</f>
        <v>-2.8</v>
      </c>
      <c r="R10" s="24">
        <f> if( ModifiedAvg!R10 =0,0,  if( ModifiedAvg!R10 &gt;=36, ROUND((36-ModifiedAvg!R10)* (0.75 + (count(Actuals!$C10:R10)/18*0.15)),1), round((36 -ModifiedAvg!R10)/2,1)))</f>
        <v>0</v>
      </c>
    </row>
    <row r="11">
      <c r="A11" s="13" t="str">
        <f>Actuals!B11</f>
        <v>Danny C</v>
      </c>
      <c r="B11" s="24">
        <f> if( ModifiedAvg!B11 =0,0,  if( ModifiedAvg!B11 &gt;=$B$2, ROUND(($B$2-ModifiedAvg!B11)* (0.75 + (count(Actuals!B11:$C11)/18*0.15)),1), round($B$2 -ModifiedAvg!B11,1)))</f>
        <v>-3.6</v>
      </c>
      <c r="C11" s="24">
        <f> if( ModifiedAvg!C11 =0,0,  if( ModifiedAvg!C11 &gt;=$C$2, ROUND(($C$2-ModifiedAvg!C11)* (0.75 + (count(Actuals!C11:$C11)/18*0.15)),1), round($C$2 -ModifiedAvg!C11,1)))</f>
        <v>-2.8</v>
      </c>
      <c r="D11" s="24">
        <f> if( ModifiedAvg!D11 =0,0,  if( ModifiedAvg!D11 &gt;=$D$2, ROUND(($D$2-ModifiedAvg!D11)*0.75,1), round($D$2 -ModifiedAvg!D11,1)))</f>
        <v>-3.6</v>
      </c>
      <c r="E11" s="24">
        <f> if( ModifiedAvg!E11 =0,0,  if( ModifiedAvg!E11 &gt;=36, ROUND((36-ModifiedAvg!E11)*0.75,1), round(36 -ModifiedAvg!E11,1)))</f>
        <v>-2.1</v>
      </c>
      <c r="F11" s="24">
        <f> if( ModifiedAvg!F11 =0,0,  if( ModifiedAvg!F11 &gt;=36, ROUND((36-ModifiedAvg!F11)* (0.75 + (count(Actuals!C11:F11)/18*0.15)),1), round(36 -ModifiedAvg!F11,1)))</f>
        <v>-2.1</v>
      </c>
      <c r="G11" s="24">
        <f> if( ModifiedAvg!G11 =0,0,  if( ModifiedAvg!G11 &gt;=36, ROUND((36-ModifiedAvg!G11)* (0.75 + (count(Actuals!$C11:G11)/18*0.15)),1), round(36 -ModifiedAvg!G11,1)))</f>
        <v>-2.1</v>
      </c>
      <c r="H11" s="24">
        <f> if( ModifiedAvg!H11 =0,0,  if( ModifiedAvg!H11 &gt;=36, ROUND((36-ModifiedAvg!H11)* (0.83),1), round(36 -ModifiedAvg!H11,1)))</f>
        <v>-2.3</v>
      </c>
      <c r="I11" s="24">
        <f> if( ModifiedAvg!I11 =0,0,  if( ModifiedAvg!I11 &gt;=36, ROUND((36-ModifiedAvg!I11)* (0.83),1), round(36 -ModifiedAvg!I11,1)))</f>
        <v>-2.3</v>
      </c>
      <c r="J11" s="24">
        <f> if( ModifiedAvg!J11 =0,0,  if( ModifiedAvg!J11 &gt;=36, ROUND((36-ModifiedAvg!J11)* (0.83),1), round(36 -ModifiedAvg!J11,1)))</f>
        <v>-2.3</v>
      </c>
      <c r="K11" s="24">
        <f> if( ModifiedAvg!K11 =0,0,  if( ModifiedAvg!K11 &gt;=36, ROUND((36-ModifiedAvg!K11)* (0.83),1), round(36 -ModifiedAvg!K11,1)))</f>
        <v>-2.3</v>
      </c>
      <c r="L11" s="24">
        <f> if( ModifiedAvg!L11 =0,0,  if( ModifiedAvg!L11 &gt;=36, ROUND((36-ModifiedAvg!L11)* (0.83),1), round(36 -ModifiedAvg!L11,1)))</f>
        <v>-2.3</v>
      </c>
      <c r="M11" s="24">
        <f> if( ModifiedAvg!M11 =0,0,  if( ModifiedAvg!M11 &gt;=36, ROUND((36-ModifiedAvg!M11)* (0.83),1), round(36 -ModifiedAvg!M11,1)))</f>
        <v>-2.3</v>
      </c>
      <c r="N11" s="24">
        <f> if( ModifiedAvg!N11 =0,0,  if( ModifiedAvg!N11 &gt;=36, ROUND((36-ModifiedAvg!N11)* (0.83),1), round(36 -ModifiedAvg!N11,1)))</f>
        <v>-2.3</v>
      </c>
      <c r="O11" s="24">
        <f> if( ModifiedAvg!O11 =0,0,  if( ModifiedAvg!O11 &gt;=36, ROUND((36-ModifiedAvg!O11)* (0.83),1), round(36 -ModifiedAvg!O11,1)))</f>
        <v>-2.3</v>
      </c>
      <c r="P11" s="24">
        <f> if( ModifiedAvg!P11 =0,0,  if( ModifiedAvg!P11 &gt;=36, ROUND((36-ModifiedAvg!P11)* (0.83),1), round(36 -ModifiedAvg!P11,1)))</f>
        <v>-2.3</v>
      </c>
      <c r="Q11" s="24">
        <f> if( ModifiedAvg!Q11 =0,0,  if( ModifiedAvg!Q11 &gt;=36, ROUND((36-ModifiedAvg!Q11)* (0.83),1), round(36 -ModifiedAvg!Q11,1)))</f>
        <v>-2.3</v>
      </c>
      <c r="R11" s="24">
        <f> if( ModifiedAvg!R11 =0,0,  if( ModifiedAvg!R11 &gt;=36, ROUND((36-ModifiedAvg!R11)* (0.75 + (count(Actuals!$C11:R11)/18*0.15)),1), round((36 -ModifiedAvg!R11)/2,1)))</f>
        <v>0</v>
      </c>
    </row>
    <row r="12">
      <c r="A12" s="13" t="str">
        <f>Actuals!B12</f>
        <v>Eddie G</v>
      </c>
      <c r="B12" s="24">
        <f> if( ModifiedAvg!B12 =0,0,  if( ModifiedAvg!B12 &gt;=$B$2, ROUND(($B$2-ModifiedAvg!B12)* (0.75 + (count(Actuals!B12:$C12)/18*0.15)),1), round($B$2 -ModifiedAvg!B12,1)))</f>
        <v>-7.5</v>
      </c>
      <c r="C12" s="24">
        <f> if( ModifiedAvg!C12 =0,0,  if( ModifiedAvg!C12 &gt;=$C$2, ROUND(($C$2-ModifiedAvg!C12)* (0.75 + (count(Actuals!C12:$C12)/18*0.15)),1), round($C$2 -ModifiedAvg!C12,1)))</f>
        <v>-6.7</v>
      </c>
      <c r="D12" s="24">
        <f> if( ModifiedAvg!D12 =0,0,  if( ModifiedAvg!D12 &gt;=$D$2, ROUND(($D$2-ModifiedAvg!D12)*0.75,1), round($D$2 -ModifiedAvg!D12,1)))</f>
        <v>-7.5</v>
      </c>
      <c r="E12" s="24">
        <f> if( ModifiedAvg!E12 =0,0,  if( ModifiedAvg!E12 &gt;=36, ROUND((36-ModifiedAvg!E12)*0.75,1), round(36 -ModifiedAvg!E12,1)))</f>
        <v>-7.2</v>
      </c>
      <c r="F12" s="24">
        <f> if( ModifiedAvg!F12 =0,0,  if( ModifiedAvg!F12 &gt;=36, ROUND((36-ModifiedAvg!F12)* (0.75 + (count(Actuals!C12:F12)/18*0.15)),1), round(36 -ModifiedAvg!F12,1)))</f>
        <v>-7.2</v>
      </c>
      <c r="G12" s="24">
        <f> if( ModifiedAvg!G12 =0,0,  if( ModifiedAvg!G12 &gt;=36, ROUND((36-ModifiedAvg!G12)* (0.75 + (count(Actuals!$C12:G12)/18*0.15)),1), round(36 -ModifiedAvg!G12,1)))</f>
        <v>-7.2</v>
      </c>
      <c r="H12" s="24">
        <f> if( ModifiedAvg!H12 =0,0,  if( ModifiedAvg!H12 &gt;=36, ROUND((36-ModifiedAvg!H12)* (0.83),1), round(36 -ModifiedAvg!H12,1)))</f>
        <v>-7.9</v>
      </c>
      <c r="I12" s="24">
        <f> if( ModifiedAvg!I12 =0,0,  if( ModifiedAvg!I12 &gt;=36, ROUND((36-ModifiedAvg!I12)* (0.83),1), round(36 -ModifiedAvg!I12,1)))</f>
        <v>-7.9</v>
      </c>
      <c r="J12" s="24">
        <f> if( ModifiedAvg!J12 =0,0,  if( ModifiedAvg!J12 &gt;=36, ROUND((36-ModifiedAvg!J12)* (0.83),1), round(36 -ModifiedAvg!J12,1)))</f>
        <v>-7.9</v>
      </c>
      <c r="K12" s="24">
        <f> if( ModifiedAvg!K12 =0,0,  if( ModifiedAvg!K12 &gt;=36, ROUND((36-ModifiedAvg!K12)* (0.83),1), round(36 -ModifiedAvg!K12,1)))</f>
        <v>-7.9</v>
      </c>
      <c r="L12" s="24">
        <f> if( ModifiedAvg!L12 =0,0,  if( ModifiedAvg!L12 &gt;=36, ROUND((36-ModifiedAvg!L12)* (0.83),1), round(36 -ModifiedAvg!L12,1)))</f>
        <v>-7.9</v>
      </c>
      <c r="M12" s="24">
        <f> if( ModifiedAvg!M12 =0,0,  if( ModifiedAvg!M12 &gt;=36, ROUND((36-ModifiedAvg!M12)* (0.83),1), round(36 -ModifiedAvg!M12,1)))</f>
        <v>-7.9</v>
      </c>
      <c r="N12" s="24">
        <f> if( ModifiedAvg!N12 =0,0,  if( ModifiedAvg!N12 &gt;=36, ROUND((36-ModifiedAvg!N12)* (0.83),1), round(36 -ModifiedAvg!N12,1)))</f>
        <v>-7.9</v>
      </c>
      <c r="O12" s="24">
        <f> if( ModifiedAvg!O12 =0,0,  if( ModifiedAvg!O12 &gt;=36, ROUND((36-ModifiedAvg!O12)* (0.83),1), round(36 -ModifiedAvg!O12,1)))</f>
        <v>-7.9</v>
      </c>
      <c r="P12" s="24">
        <f> if( ModifiedAvg!P12 =0,0,  if( ModifiedAvg!P12 &gt;=36, ROUND((36-ModifiedAvg!P12)* (0.83),1), round(36 -ModifiedAvg!P12,1)))</f>
        <v>-7.9</v>
      </c>
      <c r="Q12" s="24">
        <f> if( ModifiedAvg!Q12 =0,0,  if( ModifiedAvg!Q12 &gt;=36, ROUND((36-ModifiedAvg!Q12)* (0.83),1), round(36 -ModifiedAvg!Q12,1)))</f>
        <v>-7.9</v>
      </c>
      <c r="R12" s="24">
        <f> if( ModifiedAvg!R12 =0,0,  if( ModifiedAvg!R12 &gt;=36, ROUND((36-ModifiedAvg!R12)* (0.75 + (count(Actuals!$C12:R12)/18*0.15)),1), round((36 -ModifiedAvg!R12)/2,1)))</f>
        <v>0</v>
      </c>
    </row>
    <row r="13">
      <c r="A13" s="13" t="str">
        <f>Actuals!B13</f>
        <v>Grant G</v>
      </c>
      <c r="B13" s="24">
        <f> if( ModifiedAvg!B13 =0,0,  if( ModifiedAvg!B13 &gt;=$B$2, ROUND(($B$2-ModifiedAvg!B13)* (0.75 + (count(Actuals!B13:$C13)/18*0.15)),1), round($B$2 -ModifiedAvg!B13,1)))</f>
        <v>0</v>
      </c>
      <c r="C13" s="24">
        <f> if( ModifiedAvg!C13 =0,0,  if( ModifiedAvg!C13 &gt;=$C$2, ROUND(($C$2-ModifiedAvg!C13)* (0.75 + (count(Actuals!C13:$C13)/18*0.15)),1), round($C$2 -ModifiedAvg!C13,1)))</f>
        <v>0</v>
      </c>
      <c r="D13" s="24">
        <f> if( ModifiedAvg!D13 =0,0,  if( ModifiedAvg!D13 &gt;=$D$2, ROUND(($D$2-ModifiedAvg!D13)*0.75,1), round($D$2 -ModifiedAvg!D13,1)))</f>
        <v>0</v>
      </c>
      <c r="E13" s="24">
        <f> if( ModifiedAvg!E13 =0,0,  if( ModifiedAvg!E13 &gt;=36, ROUND((36-ModifiedAvg!E13)*0.75,1), round(36 -ModifiedAvg!E13,1)))</f>
        <v>0</v>
      </c>
      <c r="F13" s="24">
        <f> if( ModifiedAvg!F13 =0,0,  if( ModifiedAvg!F13 &gt;=36, ROUND((36-ModifiedAvg!F13)* (0.75 + (count(Actuals!C13:F13)/18*0.15)),1), round(36 -ModifiedAvg!F13,1)))</f>
        <v>0</v>
      </c>
      <c r="G13" s="24">
        <f> if( ModifiedAvg!G13 =0,0,  if( ModifiedAvg!G13 &gt;=36, ROUND((36-ModifiedAvg!G13)* (0.75 + (count(Actuals!$C13:G13)/18*0.15)),1), round(36 -ModifiedAvg!G13,1)))</f>
        <v>0</v>
      </c>
      <c r="H13" s="24">
        <f> if( ModifiedAvg!H13 =0,0,  if( ModifiedAvg!H13 &gt;=36, ROUND((36-ModifiedAvg!H13)* (0.83),1), round(36 -ModifiedAvg!H13,1)))</f>
        <v>0</v>
      </c>
      <c r="I13" s="24">
        <f> if( ModifiedAvg!I13 =0,0,  if( ModifiedAvg!I13 &gt;=36, ROUND((36-ModifiedAvg!I13)* (0.83),1), round(36 -ModifiedAvg!I13,1)))</f>
        <v>0</v>
      </c>
      <c r="J13" s="24">
        <f> if( ModifiedAvg!J13 =0,0,  if( ModifiedAvg!J13 &gt;=36, ROUND((36-ModifiedAvg!J13)* (0.83),1), round(36 -ModifiedAvg!J13,1)))</f>
        <v>0</v>
      </c>
      <c r="K13" s="24">
        <f> if( ModifiedAvg!K13 =0,0,  if( ModifiedAvg!K13 &gt;=36, ROUND((36-ModifiedAvg!K13)* (0.83),1), round(36 -ModifiedAvg!K13,1)))</f>
        <v>0</v>
      </c>
      <c r="L13" s="24">
        <f> if( ModifiedAvg!L13 =0,0,  if( ModifiedAvg!L13 &gt;=36, ROUND((36-ModifiedAvg!L13)* (0.83),1), round(36 -ModifiedAvg!L13,1)))</f>
        <v>0</v>
      </c>
      <c r="M13" s="24">
        <f> if( ModifiedAvg!M13 =0,0,  if( ModifiedAvg!M13 &gt;=36, ROUND((36-ModifiedAvg!M13)* (0.83),1), round(36 -ModifiedAvg!M13,1)))</f>
        <v>0</v>
      </c>
      <c r="N13" s="24">
        <f> if( ModifiedAvg!N13 =0,0,  if( ModifiedAvg!N13 &gt;=36, ROUND((36-ModifiedAvg!N13)* (0.83),1), round(36 -ModifiedAvg!N13,1)))</f>
        <v>0</v>
      </c>
      <c r="O13" s="24">
        <f> if( ModifiedAvg!O13 =0,0,  if( ModifiedAvg!O13 &gt;=36, ROUND((36-ModifiedAvg!O13)* (0.83),1), round(36 -ModifiedAvg!O13,1)))</f>
        <v>0</v>
      </c>
      <c r="P13" s="24">
        <f> if( ModifiedAvg!P13 =0,0,  if( ModifiedAvg!P13 &gt;=36, ROUND((36-ModifiedAvg!P13)* (0.83),1), round(36 -ModifiedAvg!P13,1)))</f>
        <v>0</v>
      </c>
      <c r="Q13" s="24">
        <f> if( ModifiedAvg!Q13 =0,0,  if( ModifiedAvg!Q13 &gt;=36, ROUND((36-ModifiedAvg!Q13)* (0.83),1), round(36 -ModifiedAvg!Q13,1)))</f>
        <v>0</v>
      </c>
      <c r="R13" s="24">
        <f> if( ModifiedAvg!R13 =0,0,  if( ModifiedAvg!R13 &gt;=36, ROUND((36-ModifiedAvg!R13)* (0.75 + (count(Actuals!$C13:R13)/18*0.15)),1), round((36 -ModifiedAvg!R13)/2,1)))</f>
        <v>0</v>
      </c>
    </row>
    <row r="14">
      <c r="A14" s="13" t="str">
        <f>Actuals!B14</f>
        <v>Jeff H</v>
      </c>
      <c r="B14" s="24">
        <f> if( ModifiedAvg!B14 =0,0,  if( ModifiedAvg!B14 &gt;=$B$2, ROUND(($B$2-ModifiedAvg!B14)* (0.75 + (count(Actuals!B14:$C14)/18*0.15)),1), round($B$2 -ModifiedAvg!B14,1)))</f>
        <v>-12.8</v>
      </c>
      <c r="C14" s="24">
        <f> if( ModifiedAvg!C14 =0,0,  if( ModifiedAvg!C14 &gt;=$C$2, ROUND(($C$2-ModifiedAvg!C14)* (0.75 + (count(Actuals!C14:$C14)/18*0.15)),1), round($C$2 -ModifiedAvg!C14,1)))</f>
        <v>-12</v>
      </c>
      <c r="D14" s="24">
        <f> if( ModifiedAvg!D14 =0,0,  if( ModifiedAvg!D14 &gt;=$D$2, ROUND(($D$2-ModifiedAvg!D14)*0.75,1), round($D$2 -ModifiedAvg!D14,1)))</f>
        <v>-12.8</v>
      </c>
      <c r="E14" s="24">
        <f> if( ModifiedAvg!E14 =0,0,  if( ModifiedAvg!E14 &gt;=36, ROUND((36-ModifiedAvg!E14)*0.75,1), round(36 -ModifiedAvg!E14,1)))</f>
        <v>-11.3</v>
      </c>
      <c r="F14" s="24">
        <f> if( ModifiedAvg!F14 =0,0,  if( ModifiedAvg!F14 &gt;=36, ROUND((36-ModifiedAvg!F14)* (0.75 + (count(Actuals!C14:F14)/18*0.15)),1), round(36 -ModifiedAvg!F14,1)))</f>
        <v>-11.3</v>
      </c>
      <c r="G14" s="24">
        <f> if( ModifiedAvg!G14 =0,0,  if( ModifiedAvg!G14 &gt;=36, ROUND((36-ModifiedAvg!G14)* (0.75 + (count(Actuals!$C14:G14)/18*0.15)),1), round(36 -ModifiedAvg!G14,1)))</f>
        <v>-11.3</v>
      </c>
      <c r="H14" s="24">
        <f> if( ModifiedAvg!H14 =0,0,  if( ModifiedAvg!H14 &gt;=36, ROUND((36-ModifiedAvg!H14)* (0.83),1), round(36 -ModifiedAvg!H14,1)))</f>
        <v>-12.5</v>
      </c>
      <c r="I14" s="24">
        <f> if( ModifiedAvg!I14 =0,0,  if( ModifiedAvg!I14 &gt;=36, ROUND((36-ModifiedAvg!I14)* (0.83),1), round(36 -ModifiedAvg!I14,1)))</f>
        <v>-12.5</v>
      </c>
      <c r="J14" s="24">
        <f> if( ModifiedAvg!J14 =0,0,  if( ModifiedAvg!J14 &gt;=36, ROUND((36-ModifiedAvg!J14)* (0.83),1), round(36 -ModifiedAvg!J14,1)))</f>
        <v>-12.5</v>
      </c>
      <c r="K14" s="24">
        <f> if( ModifiedAvg!K14 =0,0,  if( ModifiedAvg!K14 &gt;=36, ROUND((36-ModifiedAvg!K14)* (0.83),1), round(36 -ModifiedAvg!K14,1)))</f>
        <v>-12.5</v>
      </c>
      <c r="L14" s="24">
        <f> if( ModifiedAvg!L14 =0,0,  if( ModifiedAvg!L14 &gt;=36, ROUND((36-ModifiedAvg!L14)* (0.83),1), round(36 -ModifiedAvg!L14,1)))</f>
        <v>-12.5</v>
      </c>
      <c r="M14" s="24">
        <f> if( ModifiedAvg!M14 =0,0,  if( ModifiedAvg!M14 &gt;=36, ROUND((36-ModifiedAvg!M14)* (0.83),1), round(36 -ModifiedAvg!M14,1)))</f>
        <v>-12.5</v>
      </c>
      <c r="N14" s="24">
        <f> if( ModifiedAvg!N14 =0,0,  if( ModifiedAvg!N14 &gt;=36, ROUND((36-ModifiedAvg!N14)* (0.83),1), round(36 -ModifiedAvg!N14,1)))</f>
        <v>-12.5</v>
      </c>
      <c r="O14" s="24">
        <f> if( ModifiedAvg!O14 =0,0,  if( ModifiedAvg!O14 &gt;=36, ROUND((36-ModifiedAvg!O14)* (0.83),1), round(36 -ModifiedAvg!O14,1)))</f>
        <v>-12.5</v>
      </c>
      <c r="P14" s="24">
        <f> if( ModifiedAvg!P14 =0,0,  if( ModifiedAvg!P14 &gt;=36, ROUND((36-ModifiedAvg!P14)* (0.83),1), round(36 -ModifiedAvg!P14,1)))</f>
        <v>-12.5</v>
      </c>
      <c r="Q14" s="24">
        <f> if( ModifiedAvg!Q14 =0,0,  if( ModifiedAvg!Q14 &gt;=36, ROUND((36-ModifiedAvg!Q14)* (0.83),1), round(36 -ModifiedAvg!Q14,1)))</f>
        <v>-12.5</v>
      </c>
      <c r="R14" s="24">
        <f> if( ModifiedAvg!R14 =0,0,  if( ModifiedAvg!R14 &gt;=36, ROUND((36-ModifiedAvg!R14)* (0.75 + (count(Actuals!$C14:R14)/18*0.15)),1), round((36 -ModifiedAvg!R14)/2,1)))</f>
        <v>0</v>
      </c>
    </row>
    <row r="15">
      <c r="A15" s="13" t="str">
        <f>Actuals!B15</f>
        <v>Jenna T</v>
      </c>
      <c r="B15" s="24">
        <f> if( ModifiedAvg!B15 =0,0,  if( ModifiedAvg!B15 &gt;=$B$2, ROUND(($B$2-ModifiedAvg!B15)* (0.75 + (count(Actuals!B15:$C15)/18*0.15)),1), round($B$2 -ModifiedAvg!B15,1)))</f>
        <v>-6.6</v>
      </c>
      <c r="C15" s="24">
        <f> if( ModifiedAvg!C15 =0,0,  if( ModifiedAvg!C15 &gt;=$C$2, ROUND(($C$2-ModifiedAvg!C15)* (0.75 + (count(Actuals!C15:$C15)/18*0.15)),1), round($C$2 -ModifiedAvg!C15,1)))</f>
        <v>-5.9</v>
      </c>
      <c r="D15" s="24">
        <f> if( ModifiedAvg!D15 =0,0,  if( ModifiedAvg!D15 &gt;=$D$2, ROUND(($D$2-ModifiedAvg!D15)*0.75,1), round($D$2 -ModifiedAvg!D15,1)))</f>
        <v>-6.6</v>
      </c>
      <c r="E15" s="24">
        <f> if( ModifiedAvg!E15 =0,0,  if( ModifiedAvg!E15 &gt;=36, ROUND((36-ModifiedAvg!E15)*0.75,1), round(36 -ModifiedAvg!E15,1)))</f>
        <v>-5.1</v>
      </c>
      <c r="F15" s="24">
        <f> if( ModifiedAvg!F15 =0,0,  if( ModifiedAvg!F15 &gt;=36, ROUND((36-ModifiedAvg!F15)* (0.75 + (count(Actuals!C15:F15)/18*0.15)),1), round(36 -ModifiedAvg!F15,1)))</f>
        <v>-5.1</v>
      </c>
      <c r="G15" s="24">
        <f> if( ModifiedAvg!G15 =0,0,  if( ModifiedAvg!G15 &gt;=36, ROUND((36-ModifiedAvg!G15)* (0.75 + (count(Actuals!$C15:G15)/18*0.15)),1), round(36 -ModifiedAvg!G15,1)))</f>
        <v>-5.1</v>
      </c>
      <c r="H15" s="24">
        <f> if( ModifiedAvg!H15 =0,0,  if( ModifiedAvg!H15 &gt;=36, ROUND((36-ModifiedAvg!H15)* (0.83),1), round(36 -ModifiedAvg!H15,1)))</f>
        <v>-5.6</v>
      </c>
      <c r="I15" s="24">
        <f> if( ModifiedAvg!I15 =0,0,  if( ModifiedAvg!I15 &gt;=36, ROUND((36-ModifiedAvg!I15)* (0.83),1), round(36 -ModifiedAvg!I15,1)))</f>
        <v>-5.6</v>
      </c>
      <c r="J15" s="24">
        <f> if( ModifiedAvg!J15 =0,0,  if( ModifiedAvg!J15 &gt;=36, ROUND((36-ModifiedAvg!J15)* (0.83),1), round(36 -ModifiedAvg!J15,1)))</f>
        <v>-5.6</v>
      </c>
      <c r="K15" s="24">
        <f> if( ModifiedAvg!K15 =0,0,  if( ModifiedAvg!K15 &gt;=36, ROUND((36-ModifiedAvg!K15)* (0.83),1), round(36 -ModifiedAvg!K15,1)))</f>
        <v>-5.6</v>
      </c>
      <c r="L15" s="24">
        <f> if( ModifiedAvg!L15 =0,0,  if( ModifiedAvg!L15 &gt;=36, ROUND((36-ModifiedAvg!L15)* (0.83),1), round(36 -ModifiedAvg!L15,1)))</f>
        <v>-5.6</v>
      </c>
      <c r="M15" s="24">
        <f> if( ModifiedAvg!M15 =0,0,  if( ModifiedAvg!M15 &gt;=36, ROUND((36-ModifiedAvg!M15)* (0.83),1), round(36 -ModifiedAvg!M15,1)))</f>
        <v>-5.6</v>
      </c>
      <c r="N15" s="24">
        <f> if( ModifiedAvg!N15 =0,0,  if( ModifiedAvg!N15 &gt;=36, ROUND((36-ModifiedAvg!N15)* (0.83),1), round(36 -ModifiedAvg!N15,1)))</f>
        <v>-5.6</v>
      </c>
      <c r="O15" s="24">
        <f> if( ModifiedAvg!O15 =0,0,  if( ModifiedAvg!O15 &gt;=36, ROUND((36-ModifiedAvg!O15)* (0.83),1), round(36 -ModifiedAvg!O15,1)))</f>
        <v>-5.6</v>
      </c>
      <c r="P15" s="24">
        <f> if( ModifiedAvg!P15 =0,0,  if( ModifiedAvg!P15 &gt;=36, ROUND((36-ModifiedAvg!P15)* (0.83),1), round(36 -ModifiedAvg!P15,1)))</f>
        <v>-5.6</v>
      </c>
      <c r="Q15" s="24">
        <f> if( ModifiedAvg!Q15 =0,0,  if( ModifiedAvg!Q15 &gt;=36, ROUND((36-ModifiedAvg!Q15)* (0.83),1), round(36 -ModifiedAvg!Q15,1)))</f>
        <v>-5.6</v>
      </c>
      <c r="R15" s="24">
        <f> if( ModifiedAvg!R15 =0,0,  if( ModifiedAvg!R15 &gt;=36, ROUND((36-ModifiedAvg!R15)* (0.75 + (count(Actuals!$C15:R15)/18*0.15)),1), round((36 -ModifiedAvg!R15)/2,1)))</f>
        <v>0</v>
      </c>
    </row>
    <row r="16">
      <c r="A16" s="13" t="str">
        <f>Actuals!B16</f>
        <v>Jeremy H</v>
      </c>
      <c r="B16" s="24">
        <f> if( ModifiedAvg!B16 =0,0,  if( ModifiedAvg!B16 &gt;=$B$2, ROUND(($B$2-ModifiedAvg!B16)* (0.75 + (count(Actuals!B16:$C16)/18*0.15)),1), round($B$2 -ModifiedAvg!B16,1)))</f>
        <v>-4.3</v>
      </c>
      <c r="C16" s="24">
        <f> if( ModifiedAvg!C16 =0,0,  if( ModifiedAvg!C16 &gt;=$C$2, ROUND(($C$2-ModifiedAvg!C16)* (0.75 + (count(Actuals!C16:$C16)/18*0.15)),1), round($C$2 -ModifiedAvg!C16,1)))</f>
        <v>-3.5</v>
      </c>
      <c r="D16" s="24">
        <f> if( ModifiedAvg!D16 =0,0,  if( ModifiedAvg!D16 &gt;=$D$2, ROUND(($D$2-ModifiedAvg!D16)*0.75,1), round($D$2 -ModifiedAvg!D16,1)))</f>
        <v>-4.3</v>
      </c>
      <c r="E16" s="24">
        <f> if( ModifiedAvg!E16 =0,0,  if( ModifiedAvg!E16 &gt;=36, ROUND((36-ModifiedAvg!E16)*0.75,1), round(36 -ModifiedAvg!E16,1)))</f>
        <v>-2.8</v>
      </c>
      <c r="F16" s="24">
        <f> if( ModifiedAvg!F16 =0,0,  if( ModifiedAvg!F16 &gt;=36, ROUND((36-ModifiedAvg!F16)* (0.75 + (count(Actuals!C16:F16)/18*0.15)),1), round(36 -ModifiedAvg!F16,1)))</f>
        <v>-2.8</v>
      </c>
      <c r="G16" s="24">
        <f> if( ModifiedAvg!G16 =0,0,  if( ModifiedAvg!G16 &gt;=36, ROUND((36-ModifiedAvg!G16)* (0.75 + (count(Actuals!$C16:G16)/18*0.15)),1), round(36 -ModifiedAvg!G16,1)))</f>
        <v>-2.8</v>
      </c>
      <c r="H16" s="24">
        <f> if( ModifiedAvg!H16 =0,0,  if( ModifiedAvg!H16 &gt;=36, ROUND((36-ModifiedAvg!H16)* (0.83),1), round(36 -ModifiedAvg!H16,1)))</f>
        <v>-3.1</v>
      </c>
      <c r="I16" s="24">
        <f> if( ModifiedAvg!I16 =0,0,  if( ModifiedAvg!I16 &gt;=36, ROUND((36-ModifiedAvg!I16)* (0.83),1), round(36 -ModifiedAvg!I16,1)))</f>
        <v>-3.1</v>
      </c>
      <c r="J16" s="24">
        <f> if( ModifiedAvg!J16 =0,0,  if( ModifiedAvg!J16 &gt;=36, ROUND((36-ModifiedAvg!J16)* (0.83),1), round(36 -ModifiedAvg!J16,1)))</f>
        <v>-3.1</v>
      </c>
      <c r="K16" s="24">
        <f> if( ModifiedAvg!K16 =0,0,  if( ModifiedAvg!K16 &gt;=36, ROUND((36-ModifiedAvg!K16)* (0.83),1), round(36 -ModifiedAvg!K16,1)))</f>
        <v>-3.1</v>
      </c>
      <c r="L16" s="24">
        <f> if( ModifiedAvg!L16 =0,0,  if( ModifiedAvg!L16 &gt;=36, ROUND((36-ModifiedAvg!L16)* (0.83),1), round(36 -ModifiedAvg!L16,1)))</f>
        <v>-3.1</v>
      </c>
      <c r="M16" s="24">
        <f> if( ModifiedAvg!M16 =0,0,  if( ModifiedAvg!M16 &gt;=36, ROUND((36-ModifiedAvg!M16)* (0.83),1), round(36 -ModifiedAvg!M16,1)))</f>
        <v>-3.1</v>
      </c>
      <c r="N16" s="24">
        <f> if( ModifiedAvg!N16 =0,0,  if( ModifiedAvg!N16 &gt;=36, ROUND((36-ModifiedAvg!N16)* (0.83),1), round(36 -ModifiedAvg!N16,1)))</f>
        <v>-3.1</v>
      </c>
      <c r="O16" s="24">
        <f> if( ModifiedAvg!O16 =0,0,  if( ModifiedAvg!O16 &gt;=36, ROUND((36-ModifiedAvg!O16)* (0.83),1), round(36 -ModifiedAvg!O16,1)))</f>
        <v>-3.1</v>
      </c>
      <c r="P16" s="24">
        <f> if( ModifiedAvg!P16 =0,0,  if( ModifiedAvg!P16 &gt;=36, ROUND((36-ModifiedAvg!P16)* (0.83),1), round(36 -ModifiedAvg!P16,1)))</f>
        <v>-3.1</v>
      </c>
      <c r="Q16" s="24">
        <f> if( ModifiedAvg!Q16 =0,0,  if( ModifiedAvg!Q16 &gt;=36, ROUND((36-ModifiedAvg!Q16)* (0.83),1), round(36 -ModifiedAvg!Q16,1)))</f>
        <v>-3.1</v>
      </c>
      <c r="R16" s="24">
        <f> if( ModifiedAvg!R16 =0,0,  if( ModifiedAvg!R16 &gt;=36, ROUND((36-ModifiedAvg!R16)* (0.75 + (count(Actuals!$C16:R16)/18*0.15)),1), round((36 -ModifiedAvg!R16)/2,1)))</f>
        <v>0</v>
      </c>
    </row>
    <row r="17">
      <c r="A17" s="13" t="str">
        <f>Actuals!B17</f>
        <v>Jeremy S</v>
      </c>
      <c r="B17" s="24">
        <f> if( ModifiedAvg!B17 =0,0,  if( ModifiedAvg!B17 &gt;=$B$2, ROUND(($B$2-ModifiedAvg!B17)* (0.75 + (count(Actuals!B17:$C17)/18*0.15)),1), round($B$2 -ModifiedAvg!B17,1)))</f>
        <v>-11.2</v>
      </c>
      <c r="C17" s="24">
        <f> if( ModifiedAvg!C17 =0,0,  if( ModifiedAvg!C17 &gt;=$C$2, ROUND(($C$2-ModifiedAvg!C17)* (0.75 + (count(Actuals!C17:$C17)/18*0.15)),1), round($C$2 -ModifiedAvg!C17,1)))</f>
        <v>-10.4</v>
      </c>
      <c r="D17" s="24">
        <f> if( ModifiedAvg!D17 =0,0,  if( ModifiedAvg!D17 &gt;=$D$2, ROUND(($D$2-ModifiedAvg!D17)*0.75,1), round($D$2 -ModifiedAvg!D17,1)))</f>
        <v>-11.2</v>
      </c>
      <c r="E17" s="24">
        <f> if( ModifiedAvg!E17 =0,0,  if( ModifiedAvg!E17 &gt;=36, ROUND((36-ModifiedAvg!E17)*0.75,1), round(36 -ModifiedAvg!E17,1)))</f>
        <v>-9.7</v>
      </c>
      <c r="F17" s="24">
        <f> if( ModifiedAvg!F17 =0,0,  if( ModifiedAvg!F17 &gt;=36, ROUND((36-ModifiedAvg!F17)* (0.75 + (count(Actuals!C17:F17)/18*0.15)),1), round(36 -ModifiedAvg!F17,1)))</f>
        <v>-9.7</v>
      </c>
      <c r="G17" s="24">
        <f> if( ModifiedAvg!G17 =0,0,  if( ModifiedAvg!G17 &gt;=36, ROUND((36-ModifiedAvg!G17)* (0.75 + (count(Actuals!$C17:G17)/18*0.15)),1), round(36 -ModifiedAvg!G17,1)))</f>
        <v>-9.7</v>
      </c>
      <c r="H17" s="24">
        <f> if( ModifiedAvg!H17 =0,0,  if( ModifiedAvg!H17 &gt;=36, ROUND((36-ModifiedAvg!H17)* (0.83),1), round(36 -ModifiedAvg!H17,1)))</f>
        <v>-10.7</v>
      </c>
      <c r="I17" s="24">
        <f> if( ModifiedAvg!I17 =0,0,  if( ModifiedAvg!I17 &gt;=36, ROUND((36-ModifiedAvg!I17)* (0.83),1), round(36 -ModifiedAvg!I17,1)))</f>
        <v>-10.7</v>
      </c>
      <c r="J17" s="24">
        <f> if( ModifiedAvg!J17 =0,0,  if( ModifiedAvg!J17 &gt;=36, ROUND((36-ModifiedAvg!J17)* (0.83),1), round(36 -ModifiedAvg!J17,1)))</f>
        <v>-10.7</v>
      </c>
      <c r="K17" s="24">
        <f> if( ModifiedAvg!K17 =0,0,  if( ModifiedAvg!K17 &gt;=36, ROUND((36-ModifiedAvg!K17)* (0.83),1), round(36 -ModifiedAvg!K17,1)))</f>
        <v>-10.7</v>
      </c>
      <c r="L17" s="24">
        <f> if( ModifiedAvg!L17 =0,0,  if( ModifiedAvg!L17 &gt;=36, ROUND((36-ModifiedAvg!L17)* (0.83),1), round(36 -ModifiedAvg!L17,1)))</f>
        <v>-10.7</v>
      </c>
      <c r="M17" s="24">
        <f> if( ModifiedAvg!M17 =0,0,  if( ModifiedAvg!M17 &gt;=36, ROUND((36-ModifiedAvg!M17)* (0.83),1), round(36 -ModifiedAvg!M17,1)))</f>
        <v>-10.7</v>
      </c>
      <c r="N17" s="24">
        <f> if( ModifiedAvg!N17 =0,0,  if( ModifiedAvg!N17 &gt;=36, ROUND((36-ModifiedAvg!N17)* (0.83),1), round(36 -ModifiedAvg!N17,1)))</f>
        <v>-10.7</v>
      </c>
      <c r="O17" s="24">
        <f> if( ModifiedAvg!O17 =0,0,  if( ModifiedAvg!O17 &gt;=36, ROUND((36-ModifiedAvg!O17)* (0.83),1), round(36 -ModifiedAvg!O17,1)))</f>
        <v>-10.7</v>
      </c>
      <c r="P17" s="24">
        <f> if( ModifiedAvg!P17 =0,0,  if( ModifiedAvg!P17 &gt;=36, ROUND((36-ModifiedAvg!P17)* (0.83),1), round(36 -ModifiedAvg!P17,1)))</f>
        <v>-10.7</v>
      </c>
      <c r="Q17" s="24">
        <f> if( ModifiedAvg!Q17 =0,0,  if( ModifiedAvg!Q17 &gt;=36, ROUND((36-ModifiedAvg!Q17)* (0.83),1), round(36 -ModifiedAvg!Q17,1)))</f>
        <v>-10.7</v>
      </c>
      <c r="R17" s="24">
        <f> if( ModifiedAvg!R17 =0,0,  if( ModifiedAvg!R17 &gt;=36, ROUND((36-ModifiedAvg!R17)* (0.75 + (count(Actuals!$C17:R17)/18*0.15)),1), round((36 -ModifiedAvg!R17)/2,1)))</f>
        <v>0</v>
      </c>
    </row>
    <row r="18">
      <c r="A18" s="13" t="str">
        <f>Actuals!B18</f>
        <v>Jon L</v>
      </c>
      <c r="B18" s="24">
        <f> if( ModifiedAvg!B18 =0,0,  if( ModifiedAvg!B18 &gt;=$B$2, ROUND(($B$2-ModifiedAvg!B18)* (0.75 + (count(Actuals!B18:$C18)/18*0.15)),1), round($B$2 -ModifiedAvg!B18,1)))</f>
        <v>-7.5</v>
      </c>
      <c r="C18" s="24">
        <f> if( ModifiedAvg!C18 =0,0,  if( ModifiedAvg!C18 &gt;=$C$2, ROUND(($C$2-ModifiedAvg!C18)* (0.75 + (count(Actuals!C18:$C18)/18*0.15)),1), round($C$2 -ModifiedAvg!C18,1)))</f>
        <v>-7.3</v>
      </c>
      <c r="D18" s="24">
        <f> if( ModifiedAvg!D18 =0,0,  if( ModifiedAvg!D18 &gt;=$D$2, ROUND(($D$2-ModifiedAvg!D18)*0.75,1), round($D$2 -ModifiedAvg!D18,1)))</f>
        <v>-7.4</v>
      </c>
      <c r="E18" s="24">
        <f> if( ModifiedAvg!E18 =0,0,  if( ModifiedAvg!E18 &gt;=36, ROUND((36-ModifiedAvg!E18)*0.75,1), round(36 -ModifiedAvg!E18,1)))</f>
        <v>-6.1</v>
      </c>
      <c r="F18" s="24">
        <f> if( ModifiedAvg!F18 =0,0,  if( ModifiedAvg!F18 &gt;=36, ROUND((36-ModifiedAvg!F18)* (0.75 + (count(Actuals!C18:F18)/18*0.15)),1), round(36 -ModifiedAvg!F18,1)))</f>
        <v>-6.3</v>
      </c>
      <c r="G18" s="24">
        <f> if( ModifiedAvg!G18 =0,0,  if( ModifiedAvg!G18 &gt;=36, ROUND((36-ModifiedAvg!G18)* (0.75 + (count(Actuals!$C18:G18)/18*0.15)),1), round(36 -ModifiedAvg!G18,1)))</f>
        <v>-6.3</v>
      </c>
      <c r="H18" s="24">
        <f> if( ModifiedAvg!H18 =0,0,  if( ModifiedAvg!H18 &gt;=36, ROUND((36-ModifiedAvg!H18)* (0.83),1), round(36 -ModifiedAvg!H18,1)))</f>
        <v>-6.7</v>
      </c>
      <c r="I18" s="24">
        <f> if( ModifiedAvg!I18 =0,0,  if( ModifiedAvg!I18 &gt;=36, ROUND((36-ModifiedAvg!I18)* (0.83),1), round(36 -ModifiedAvg!I18,1)))</f>
        <v>-6.7</v>
      </c>
      <c r="J18" s="24">
        <f> if( ModifiedAvg!J18 =0,0,  if( ModifiedAvg!J18 &gt;=36, ROUND((36-ModifiedAvg!J18)* (0.83),1), round(36 -ModifiedAvg!J18,1)))</f>
        <v>-6.7</v>
      </c>
      <c r="K18" s="24">
        <f> if( ModifiedAvg!K18 =0,0,  if( ModifiedAvg!K18 &gt;=36, ROUND((36-ModifiedAvg!K18)* (0.83),1), round(36 -ModifiedAvg!K18,1)))</f>
        <v>-6.7</v>
      </c>
      <c r="L18" s="24">
        <f> if( ModifiedAvg!L18 =0,0,  if( ModifiedAvg!L18 &gt;=36, ROUND((36-ModifiedAvg!L18)* (0.83),1), round(36 -ModifiedAvg!L18,1)))</f>
        <v>-6.7</v>
      </c>
      <c r="M18" s="24">
        <f> if( ModifiedAvg!M18 =0,0,  if( ModifiedAvg!M18 &gt;=36, ROUND((36-ModifiedAvg!M18)* (0.83),1), round(36 -ModifiedAvg!M18,1)))</f>
        <v>-6.7</v>
      </c>
      <c r="N18" s="24">
        <f> if( ModifiedAvg!N18 =0,0,  if( ModifiedAvg!N18 &gt;=36, ROUND((36-ModifiedAvg!N18)* (0.83),1), round(36 -ModifiedAvg!N18,1)))</f>
        <v>-6.7</v>
      </c>
      <c r="O18" s="24">
        <f> if( ModifiedAvg!O18 =0,0,  if( ModifiedAvg!O18 &gt;=36, ROUND((36-ModifiedAvg!O18)* (0.83),1), round(36 -ModifiedAvg!O18,1)))</f>
        <v>-6.7</v>
      </c>
      <c r="P18" s="24">
        <f> if( ModifiedAvg!P18 =0,0,  if( ModifiedAvg!P18 &gt;=36, ROUND((36-ModifiedAvg!P18)* (0.83),1), round(36 -ModifiedAvg!P18,1)))</f>
        <v>-6.7</v>
      </c>
      <c r="Q18" s="24">
        <f> if( ModifiedAvg!Q18 =0,0,  if( ModifiedAvg!Q18 &gt;=36, ROUND((36-ModifiedAvg!Q18)* (0.83),1), round(36 -ModifiedAvg!Q18,1)))</f>
        <v>-6.7</v>
      </c>
      <c r="R18" s="24">
        <f> if( ModifiedAvg!R18 =0,0,  if( ModifiedAvg!R18 &gt;=36, ROUND((36-ModifiedAvg!R18)* (0.75 + (count(Actuals!$C18:R18)/18*0.15)),1), round((36 -ModifiedAvg!R18)/2,1)))</f>
        <v>0</v>
      </c>
    </row>
    <row r="19">
      <c r="A19" s="13" t="str">
        <f>Actuals!B19</f>
        <v>Jonah R</v>
      </c>
      <c r="B19" s="24">
        <f> if( ModifiedAvg!B19 =0,0,  if( ModifiedAvg!B19 &gt;=$B$2, ROUND(($B$2-ModifiedAvg!B19)* (0.75 + (count(Actuals!B19:$C19)/18*0.15)),1), round($B$2 -ModifiedAvg!B19,1)))</f>
        <v>-10.5</v>
      </c>
      <c r="C19" s="24">
        <f> if( ModifiedAvg!C19 =0,0,  if( ModifiedAvg!C19 &gt;=$C$2, ROUND(($C$2-ModifiedAvg!C19)* (0.75 + (count(Actuals!C19:$C19)/18*0.15)),1), round($C$2 -ModifiedAvg!C19,1)))</f>
        <v>-9.8</v>
      </c>
      <c r="D19" s="24">
        <f> if( ModifiedAvg!D19 =0,0,  if( ModifiedAvg!D19 &gt;=$D$2, ROUND(($D$2-ModifiedAvg!D19)*0.75,1), round($D$2 -ModifiedAvg!D19,1)))</f>
        <v>-10.1</v>
      </c>
      <c r="E19" s="24">
        <f> if( ModifiedAvg!E19 =0,0,  if( ModifiedAvg!E19 &gt;=36, ROUND((36-ModifiedAvg!E19)*0.75,1), round(36 -ModifiedAvg!E19,1)))</f>
        <v>-8.6</v>
      </c>
      <c r="F19" s="24">
        <f> if( ModifiedAvg!F19 =0,0,  if( ModifiedAvg!F19 &gt;=36, ROUND((36-ModifiedAvg!F19)* (0.75 + (count(Actuals!C19:F19)/18*0.15)),1), round(36 -ModifiedAvg!F19,1)))</f>
        <v>-8.7</v>
      </c>
      <c r="G19" s="24">
        <f> if( ModifiedAvg!G19 =0,0,  if( ModifiedAvg!G19 &gt;=36, ROUND((36-ModifiedAvg!G19)* (0.75 + (count(Actuals!$C19:G19)/18*0.15)),1), round(36 -ModifiedAvg!G19,1)))</f>
        <v>-8.7</v>
      </c>
      <c r="H19" s="24">
        <f> if( ModifiedAvg!H19 =0,0,  if( ModifiedAvg!H19 &gt;=36, ROUND((36-ModifiedAvg!H19)* (0.83),1), round(36 -ModifiedAvg!H19,1)))</f>
        <v>-9.6</v>
      </c>
      <c r="I19" s="24">
        <f> if( ModifiedAvg!I19 =0,0,  if( ModifiedAvg!I19 &gt;=36, ROUND((36-ModifiedAvg!I19)* (0.83),1), round(36 -ModifiedAvg!I19,1)))</f>
        <v>-9.6</v>
      </c>
      <c r="J19" s="24">
        <f> if( ModifiedAvg!J19 =0,0,  if( ModifiedAvg!J19 &gt;=36, ROUND((36-ModifiedAvg!J19)* (0.83),1), round(36 -ModifiedAvg!J19,1)))</f>
        <v>-9.6</v>
      </c>
      <c r="K19" s="24">
        <f> if( ModifiedAvg!K19 =0,0,  if( ModifiedAvg!K19 &gt;=36, ROUND((36-ModifiedAvg!K19)* (0.83),1), round(36 -ModifiedAvg!K19,1)))</f>
        <v>-9.6</v>
      </c>
      <c r="L19" s="24">
        <f> if( ModifiedAvg!L19 =0,0,  if( ModifiedAvg!L19 &gt;=36, ROUND((36-ModifiedAvg!L19)* (0.83),1), round(36 -ModifiedAvg!L19,1)))</f>
        <v>-9.6</v>
      </c>
      <c r="M19" s="24">
        <f> if( ModifiedAvg!M19 =0,0,  if( ModifiedAvg!M19 &gt;=36, ROUND((36-ModifiedAvg!M19)* (0.83),1), round(36 -ModifiedAvg!M19,1)))</f>
        <v>-9.6</v>
      </c>
      <c r="N19" s="24">
        <f> if( ModifiedAvg!N19 =0,0,  if( ModifiedAvg!N19 &gt;=36, ROUND((36-ModifiedAvg!N19)* (0.83),1), round(36 -ModifiedAvg!N19,1)))</f>
        <v>-9.6</v>
      </c>
      <c r="O19" s="24">
        <f> if( ModifiedAvg!O19 =0,0,  if( ModifiedAvg!O19 &gt;=36, ROUND((36-ModifiedAvg!O19)* (0.83),1), round(36 -ModifiedAvg!O19,1)))</f>
        <v>-9.6</v>
      </c>
      <c r="P19" s="24">
        <f> if( ModifiedAvg!P19 =0,0,  if( ModifiedAvg!P19 &gt;=36, ROUND((36-ModifiedAvg!P19)* (0.83),1), round(36 -ModifiedAvg!P19,1)))</f>
        <v>-9.6</v>
      </c>
      <c r="Q19" s="24">
        <f> if( ModifiedAvg!Q19 =0,0,  if( ModifiedAvg!Q19 &gt;=36, ROUND((36-ModifiedAvg!Q19)* (0.83),1), round(36 -ModifiedAvg!Q19,1)))</f>
        <v>-9.6</v>
      </c>
      <c r="R19" s="24">
        <f> if( ModifiedAvg!R19 =0,0,  if( ModifiedAvg!R19 &gt;=36, ROUND((36-ModifiedAvg!R19)* (0.75 + (count(Actuals!$C19:R19)/18*0.15)),1), round((36 -ModifiedAvg!R19)/2,1)))</f>
        <v>0</v>
      </c>
    </row>
    <row r="20">
      <c r="A20" s="13" t="str">
        <f>Actuals!B20</f>
        <v>Jordan V</v>
      </c>
      <c r="B20" s="24">
        <f> if( ModifiedAvg!B20 =0,0,  if( ModifiedAvg!B20 &gt;=$B$2, ROUND(($B$2-ModifiedAvg!B20)* (0.75 + (count(Actuals!B20:$C20)/18*0.15)),1), round($B$2 -ModifiedAvg!B20,1)))</f>
        <v>-2.5</v>
      </c>
      <c r="C20" s="24">
        <f> if( ModifiedAvg!C20 =0,0,  if( ModifiedAvg!C20 &gt;=$C$2, ROUND(($C$2-ModifiedAvg!C20)* (0.75 + (count(Actuals!C20:$C20)/18*0.15)),1), round($C$2 -ModifiedAvg!C20,1)))</f>
        <v>-1.7</v>
      </c>
      <c r="D20" s="24">
        <f> if( ModifiedAvg!D20 =0,0,  if( ModifiedAvg!D20 &gt;=$D$2, ROUND(($D$2-ModifiedAvg!D20)*0.75,1), round($D$2 -ModifiedAvg!D20,1)))</f>
        <v>-2.5</v>
      </c>
      <c r="E20" s="24">
        <f> if( ModifiedAvg!E20 =0,0,  if( ModifiedAvg!E20 &gt;=36, ROUND((36-ModifiedAvg!E20)*0.75,1), round(36 -ModifiedAvg!E20,1)))</f>
        <v>-1</v>
      </c>
      <c r="F20" s="24">
        <f> if( ModifiedAvg!F20 =0,0,  if( ModifiedAvg!F20 &gt;=36, ROUND((36-ModifiedAvg!F20)* (0.75 + (count(Actuals!C20:F20)/18*0.15)),1), round(36 -ModifiedAvg!F20,1)))</f>
        <v>-1</v>
      </c>
      <c r="G20" s="24">
        <f> if( ModifiedAvg!G20 =0,0,  if( ModifiedAvg!G20 &gt;=36, ROUND((36-ModifiedAvg!G20)* (0.75 + (count(Actuals!$C20:G20)/18*0.15)),1), round(36 -ModifiedAvg!G20,1)))</f>
        <v>-1</v>
      </c>
      <c r="H20" s="24">
        <f> if( ModifiedAvg!H20 =0,0,  if( ModifiedAvg!H20 &gt;=36, ROUND((36-ModifiedAvg!H20)* (0.83),1), round(36 -ModifiedAvg!H20,1)))</f>
        <v>-1.1</v>
      </c>
      <c r="I20" s="24">
        <f> if( ModifiedAvg!I20 =0,0,  if( ModifiedAvg!I20 &gt;=36, ROUND((36-ModifiedAvg!I20)* (0.83),1), round(36 -ModifiedAvg!I20,1)))</f>
        <v>-1.1</v>
      </c>
      <c r="J20" s="24">
        <f> if( ModifiedAvg!J20 =0,0,  if( ModifiedAvg!J20 &gt;=36, ROUND((36-ModifiedAvg!J20)* (0.83),1), round(36 -ModifiedAvg!J20,1)))</f>
        <v>-1.1</v>
      </c>
      <c r="K20" s="24">
        <f> if( ModifiedAvg!K20 =0,0,  if( ModifiedAvg!K20 &gt;=36, ROUND((36-ModifiedAvg!K20)* (0.83),1), round(36 -ModifiedAvg!K20,1)))</f>
        <v>-1.1</v>
      </c>
      <c r="L20" s="24">
        <f> if( ModifiedAvg!L20 =0,0,  if( ModifiedAvg!L20 &gt;=36, ROUND((36-ModifiedAvg!L20)* (0.83),1), round(36 -ModifiedAvg!L20,1)))</f>
        <v>-1.1</v>
      </c>
      <c r="M20" s="24">
        <f> if( ModifiedAvg!M20 =0,0,  if( ModifiedAvg!M20 &gt;=36, ROUND((36-ModifiedAvg!M20)* (0.83),1), round(36 -ModifiedAvg!M20,1)))</f>
        <v>-1.1</v>
      </c>
      <c r="N20" s="24">
        <f> if( ModifiedAvg!N20 =0,0,  if( ModifiedAvg!N20 &gt;=36, ROUND((36-ModifiedAvg!N20)* (0.83),1), round(36 -ModifiedAvg!N20,1)))</f>
        <v>-1.1</v>
      </c>
      <c r="O20" s="24">
        <f> if( ModifiedAvg!O20 =0,0,  if( ModifiedAvg!O20 &gt;=36, ROUND((36-ModifiedAvg!O20)* (0.83),1), round(36 -ModifiedAvg!O20,1)))</f>
        <v>-1.1</v>
      </c>
      <c r="P20" s="24">
        <f> if( ModifiedAvg!P20 =0,0,  if( ModifiedAvg!P20 &gt;=36, ROUND((36-ModifiedAvg!P20)* (0.83),1), round(36 -ModifiedAvg!P20,1)))</f>
        <v>-1.1</v>
      </c>
      <c r="Q20" s="24">
        <f> if( ModifiedAvg!Q20 =0,0,  if( ModifiedAvg!Q20 &gt;=36, ROUND((36-ModifiedAvg!Q20)* (0.83),1), round(36 -ModifiedAvg!Q20,1)))</f>
        <v>-1.1</v>
      </c>
      <c r="R20" s="24">
        <f> if( ModifiedAvg!R20 =0,0,  if( ModifiedAvg!R20 &gt;=36, ROUND((36-ModifiedAvg!R20)* (0.75 + (count(Actuals!$C20:R20)/18*0.15)),1), round((36 -ModifiedAvg!R20)/2,1)))</f>
        <v>0</v>
      </c>
    </row>
    <row r="21">
      <c r="A21" s="13" t="str">
        <f>Actuals!B21</f>
        <v>Kyle N</v>
      </c>
      <c r="B21" s="24">
        <f> if( ModifiedAvg!B21 =0,0,  if( ModifiedAvg!B21 &gt;=$B$2, ROUND(($B$2-ModifiedAvg!B21)* (0.75 + (count(Actuals!B21:$C21)/18*0.15)),1), round($B$2 -ModifiedAvg!B21,1)))</f>
        <v>-6.8</v>
      </c>
      <c r="C21" s="24">
        <f> if( ModifiedAvg!C21 =0,0,  if( ModifiedAvg!C21 &gt;=$C$2, ROUND(($C$2-ModifiedAvg!C21)* (0.75 + (count(Actuals!C21:$C21)/18*0.15)),1), round($C$2 -ModifiedAvg!C21,1)))</f>
        <v>-5.3</v>
      </c>
      <c r="D21" s="24">
        <f> if( ModifiedAvg!D21 =0,0,  if( ModifiedAvg!D21 &gt;=$D$2, ROUND(($D$2-ModifiedAvg!D21)*0.75,1), round($D$2 -ModifiedAvg!D21,1)))</f>
        <v>-6.7</v>
      </c>
      <c r="E21" s="24">
        <f> if( ModifiedAvg!E21 =0,0,  if( ModifiedAvg!E21 &gt;=36, ROUND((36-ModifiedAvg!E21)*0.75,1), round(36 -ModifiedAvg!E21,1)))</f>
        <v>-3.4</v>
      </c>
      <c r="F21" s="24">
        <f> if( ModifiedAvg!F21 =0,0,  if( ModifiedAvg!F21 &gt;=36, ROUND((36-ModifiedAvg!F21)* (0.75 + (count(Actuals!C21:F21)/18*0.15)),1), round(36 -ModifiedAvg!F21,1)))</f>
        <v>-3.5</v>
      </c>
      <c r="G21" s="24">
        <f> if( ModifiedAvg!G21 =0,0,  if( ModifiedAvg!G21 &gt;=36, ROUND((36-ModifiedAvg!G21)* (0.75 + (count(Actuals!$C21:G21)/18*0.15)),1), round(36 -ModifiedAvg!G21,1)))</f>
        <v>-3.5</v>
      </c>
      <c r="H21" s="24">
        <f> if( ModifiedAvg!H21 =0,0,  if( ModifiedAvg!H21 &gt;=36, ROUND((36-ModifiedAvg!H21)* (0.83),1), round(36 -ModifiedAvg!H21,1)))</f>
        <v>-3.7</v>
      </c>
      <c r="I21" s="24">
        <f> if( ModifiedAvg!I21 =0,0,  if( ModifiedAvg!I21 &gt;=36, ROUND((36-ModifiedAvg!I21)* (0.83),1), round(36 -ModifiedAvg!I21,1)))</f>
        <v>-3.7</v>
      </c>
      <c r="J21" s="24">
        <f> if( ModifiedAvg!J21 =0,0,  if( ModifiedAvg!J21 &gt;=36, ROUND((36-ModifiedAvg!J21)* (0.83),1), round(36 -ModifiedAvg!J21,1)))</f>
        <v>-3.7</v>
      </c>
      <c r="K21" s="24">
        <f> if( ModifiedAvg!K21 =0,0,  if( ModifiedAvg!K21 &gt;=36, ROUND((36-ModifiedAvg!K21)* (0.83),1), round(36 -ModifiedAvg!K21,1)))</f>
        <v>-3.7</v>
      </c>
      <c r="L21" s="24">
        <f> if( ModifiedAvg!L21 =0,0,  if( ModifiedAvg!L21 &gt;=36, ROUND((36-ModifiedAvg!L21)* (0.83),1), round(36 -ModifiedAvg!L21,1)))</f>
        <v>-3.7</v>
      </c>
      <c r="M21" s="24">
        <f> if( ModifiedAvg!M21 =0,0,  if( ModifiedAvg!M21 &gt;=36, ROUND((36-ModifiedAvg!M21)* (0.83),1), round(36 -ModifiedAvg!M21,1)))</f>
        <v>-3.7</v>
      </c>
      <c r="N21" s="24">
        <f> if( ModifiedAvg!N21 =0,0,  if( ModifiedAvg!N21 &gt;=36, ROUND((36-ModifiedAvg!N21)* (0.83),1), round(36 -ModifiedAvg!N21,1)))</f>
        <v>-3.7</v>
      </c>
      <c r="O21" s="24">
        <f> if( ModifiedAvg!O21 =0,0,  if( ModifiedAvg!O21 &gt;=36, ROUND((36-ModifiedAvg!O21)* (0.83),1), round(36 -ModifiedAvg!O21,1)))</f>
        <v>-3.7</v>
      </c>
      <c r="P21" s="24">
        <f> if( ModifiedAvg!P21 =0,0,  if( ModifiedAvg!P21 &gt;=36, ROUND((36-ModifiedAvg!P21)* (0.83),1), round(36 -ModifiedAvg!P21,1)))</f>
        <v>-3.7</v>
      </c>
      <c r="Q21" s="24">
        <f> if( ModifiedAvg!Q21 =0,0,  if( ModifiedAvg!Q21 &gt;=36, ROUND((36-ModifiedAvg!Q21)* (0.83),1), round(36 -ModifiedAvg!Q21,1)))</f>
        <v>-3.7</v>
      </c>
      <c r="R21" s="24">
        <f> if( ModifiedAvg!R21 =0,0,  if( ModifiedAvg!R21 &gt;=36, ROUND((36-ModifiedAvg!R21)* (0.75 + (count(Actuals!$C21:R21)/18*0.15)),1), round((36 -ModifiedAvg!R21)/2,1)))</f>
        <v>0</v>
      </c>
    </row>
    <row r="22">
      <c r="A22" s="13" t="str">
        <f>Actuals!B22</f>
        <v>Laura L</v>
      </c>
      <c r="B22" s="24">
        <f> if( ModifiedAvg!B22 =0,0,  if( ModifiedAvg!B22 &gt;=$B$2, ROUND(($B$2-ModifiedAvg!B22)* (0.75 + (count(Actuals!B22:$C22)/18*0.15)),1), round($B$2 -ModifiedAvg!B22,1)))</f>
        <v>-4.1</v>
      </c>
      <c r="C22" s="24">
        <f> if( ModifiedAvg!C22 =0,0,  if( ModifiedAvg!C22 &gt;=$C$2, ROUND(($C$2-ModifiedAvg!C22)* (0.75 + (count(Actuals!C22:$C22)/18*0.15)),1), round($C$2 -ModifiedAvg!C22,1)))</f>
        <v>-3.3</v>
      </c>
      <c r="D22" s="24">
        <f> if( ModifiedAvg!D22 =0,0,  if( ModifiedAvg!D22 &gt;=$D$2, ROUND(($D$2-ModifiedAvg!D22)*0.75,1), round($D$2 -ModifiedAvg!D22,1)))</f>
        <v>-4.1</v>
      </c>
      <c r="E22" s="24">
        <f> if( ModifiedAvg!E22 =0,0,  if( ModifiedAvg!E22 &gt;=36, ROUND((36-ModifiedAvg!E22)*0.75,1), round(36 -ModifiedAvg!E22,1)))</f>
        <v>-2.6</v>
      </c>
      <c r="F22" s="24">
        <f> if( ModifiedAvg!F22 =0,0,  if( ModifiedAvg!F22 &gt;=36, ROUND((36-ModifiedAvg!F22)* (0.75 + (count(Actuals!C22:F22)/18*0.15)),1), round(36 -ModifiedAvg!F22,1)))</f>
        <v>-2.6</v>
      </c>
      <c r="G22" s="24">
        <f> if( ModifiedAvg!G22 =0,0,  if( ModifiedAvg!G22 &gt;=36, ROUND((36-ModifiedAvg!G22)* (0.75 + (count(Actuals!$C22:G22)/18*0.15)),1), round(36 -ModifiedAvg!G22,1)))</f>
        <v>-2.6</v>
      </c>
      <c r="H22" s="24">
        <f> if( ModifiedAvg!H22 =0,0,  if( ModifiedAvg!H22 &gt;=36, ROUND((36-ModifiedAvg!H22)* (0.83),1), round(36 -ModifiedAvg!H22,1)))</f>
        <v>-2.9</v>
      </c>
      <c r="I22" s="24">
        <f> if( ModifiedAvg!I22 =0,0,  if( ModifiedAvg!I22 &gt;=36, ROUND((36-ModifiedAvg!I22)* (0.83),1), round(36 -ModifiedAvg!I22,1)))</f>
        <v>-2.9</v>
      </c>
      <c r="J22" s="24">
        <f> if( ModifiedAvg!J22 =0,0,  if( ModifiedAvg!J22 &gt;=36, ROUND((36-ModifiedAvg!J22)* (0.83),1), round(36 -ModifiedAvg!J22,1)))</f>
        <v>-2.9</v>
      </c>
      <c r="K22" s="24">
        <f> if( ModifiedAvg!K22 =0,0,  if( ModifiedAvg!K22 &gt;=36, ROUND((36-ModifiedAvg!K22)* (0.83),1), round(36 -ModifiedAvg!K22,1)))</f>
        <v>-2.9</v>
      </c>
      <c r="L22" s="24">
        <f> if( ModifiedAvg!L22 =0,0,  if( ModifiedAvg!L22 &gt;=36, ROUND((36-ModifiedAvg!L22)* (0.83),1), round(36 -ModifiedAvg!L22,1)))</f>
        <v>-2.9</v>
      </c>
      <c r="M22" s="24">
        <f> if( ModifiedAvg!M22 =0,0,  if( ModifiedAvg!M22 &gt;=36, ROUND((36-ModifiedAvg!M22)* (0.83),1), round(36 -ModifiedAvg!M22,1)))</f>
        <v>-2.9</v>
      </c>
      <c r="N22" s="24">
        <f> if( ModifiedAvg!N22 =0,0,  if( ModifiedAvg!N22 &gt;=36, ROUND((36-ModifiedAvg!N22)* (0.83),1), round(36 -ModifiedAvg!N22,1)))</f>
        <v>-2.9</v>
      </c>
      <c r="O22" s="24">
        <f> if( ModifiedAvg!O22 =0,0,  if( ModifiedAvg!O22 &gt;=36, ROUND((36-ModifiedAvg!O22)* (0.83),1), round(36 -ModifiedAvg!O22,1)))</f>
        <v>-2.9</v>
      </c>
      <c r="P22" s="24">
        <f> if( ModifiedAvg!P22 =0,0,  if( ModifiedAvg!P22 &gt;=36, ROUND((36-ModifiedAvg!P22)* (0.83),1), round(36 -ModifiedAvg!P22,1)))</f>
        <v>-2.9</v>
      </c>
      <c r="Q22" s="24">
        <f> if( ModifiedAvg!Q22 =0,0,  if( ModifiedAvg!Q22 &gt;=36, ROUND((36-ModifiedAvg!Q22)* (0.83),1), round(36 -ModifiedAvg!Q22,1)))</f>
        <v>-2.9</v>
      </c>
      <c r="R22" s="24">
        <f> if( ModifiedAvg!R22 =0,0,  if( ModifiedAvg!R22 &gt;=36, ROUND((36-ModifiedAvg!R22)* (0.75 + (count(Actuals!$C22:R22)/18*0.15)),1), round((36 -ModifiedAvg!R22)/2,1)))</f>
        <v>0</v>
      </c>
    </row>
    <row r="23">
      <c r="A23" s="13" t="str">
        <f>Actuals!B23</f>
        <v>Luke W</v>
      </c>
      <c r="B23" s="24">
        <f> if( ModifiedAvg!B23 =0,0,  if( ModifiedAvg!B23 &gt;=$B$2, ROUND(($B$2-ModifiedAvg!B23)* (0.75 + (count(Actuals!B23:$C23)/18*0.15)),1), round($B$2 -ModifiedAvg!B23,1)))</f>
        <v>-3.4</v>
      </c>
      <c r="C23" s="24">
        <f> if( ModifiedAvg!C23 =0,0,  if( ModifiedAvg!C23 &gt;=$C$2, ROUND(($C$2-ModifiedAvg!C23)* (0.75 + (count(Actuals!C23:$C23)/18*0.15)),1), round($C$2 -ModifiedAvg!C23,1)))</f>
        <v>-2.6</v>
      </c>
      <c r="D23" s="24">
        <f> if( ModifiedAvg!D23 =0,0,  if( ModifiedAvg!D23 &gt;=$D$2, ROUND(($D$2-ModifiedAvg!D23)*0.75,1), round($D$2 -ModifiedAvg!D23,1)))</f>
        <v>-3.4</v>
      </c>
      <c r="E23" s="24">
        <f> if( ModifiedAvg!E23 =0,0,  if( ModifiedAvg!E23 &gt;=36, ROUND((36-ModifiedAvg!E23)*0.75,1), round(36 -ModifiedAvg!E23,1)))</f>
        <v>-0.9</v>
      </c>
      <c r="F23" s="24">
        <f> if( ModifiedAvg!F23 =0,0,  if( ModifiedAvg!F23 &gt;=36, ROUND((36-ModifiedAvg!F23)* (0.75 + (count(Actuals!C23:F23)/18*0.15)),1), round(36 -ModifiedAvg!F23,1)))</f>
        <v>-0.9</v>
      </c>
      <c r="G23" s="24">
        <f> if( ModifiedAvg!G23 =0,0,  if( ModifiedAvg!G23 &gt;=36, ROUND((36-ModifiedAvg!G23)* (0.75 + (count(Actuals!$C23:G23)/18*0.15)),1), round(36 -ModifiedAvg!G23,1)))</f>
        <v>-0.9</v>
      </c>
      <c r="H23" s="24">
        <f> if( ModifiedAvg!H23 =0,0,  if( ModifiedAvg!H23 &gt;=36, ROUND((36-ModifiedAvg!H23)* (0.83),1), round(36 -ModifiedAvg!H23,1)))</f>
        <v>-1</v>
      </c>
      <c r="I23" s="24">
        <f> if( ModifiedAvg!I23 =0,0,  if( ModifiedAvg!I23 &gt;=36, ROUND((36-ModifiedAvg!I23)* (0.83),1), round(36 -ModifiedAvg!I23,1)))</f>
        <v>-1</v>
      </c>
      <c r="J23" s="24">
        <f> if( ModifiedAvg!J23 =0,0,  if( ModifiedAvg!J23 &gt;=36, ROUND((36-ModifiedAvg!J23)* (0.83),1), round(36 -ModifiedAvg!J23,1)))</f>
        <v>-1</v>
      </c>
      <c r="K23" s="24">
        <f> if( ModifiedAvg!K23 =0,0,  if( ModifiedAvg!K23 &gt;=36, ROUND((36-ModifiedAvg!K23)* (0.83),1), round(36 -ModifiedAvg!K23,1)))</f>
        <v>-1</v>
      </c>
      <c r="L23" s="24">
        <f> if( ModifiedAvg!L23 =0,0,  if( ModifiedAvg!L23 &gt;=36, ROUND((36-ModifiedAvg!L23)* (0.83),1), round(36 -ModifiedAvg!L23,1)))</f>
        <v>-1</v>
      </c>
      <c r="M23" s="24">
        <f> if( ModifiedAvg!M23 =0,0,  if( ModifiedAvg!M23 &gt;=36, ROUND((36-ModifiedAvg!M23)* (0.83),1), round(36 -ModifiedAvg!M23,1)))</f>
        <v>-1</v>
      </c>
      <c r="N23" s="24">
        <f> if( ModifiedAvg!N23 =0,0,  if( ModifiedAvg!N23 &gt;=36, ROUND((36-ModifiedAvg!N23)* (0.83),1), round(36 -ModifiedAvg!N23,1)))</f>
        <v>-1</v>
      </c>
      <c r="O23" s="24">
        <f> if( ModifiedAvg!O23 =0,0,  if( ModifiedAvg!O23 &gt;=36, ROUND((36-ModifiedAvg!O23)* (0.83),1), round(36 -ModifiedAvg!O23,1)))</f>
        <v>-1</v>
      </c>
      <c r="P23" s="24">
        <f> if( ModifiedAvg!P23 =0,0,  if( ModifiedAvg!P23 &gt;=36, ROUND((36-ModifiedAvg!P23)* (0.83),1), round(36 -ModifiedAvg!P23,1)))</f>
        <v>-1</v>
      </c>
      <c r="Q23" s="24">
        <f> if( ModifiedAvg!Q23 =0,0,  if( ModifiedAvg!Q23 &gt;=36, ROUND((36-ModifiedAvg!Q23)* (0.83),1), round(36 -ModifiedAvg!Q23,1)))</f>
        <v>-1</v>
      </c>
      <c r="R23" s="24">
        <f> if( ModifiedAvg!R23 =0,0,  if( ModifiedAvg!R23 &gt;=36, ROUND((36-ModifiedAvg!R23)* (0.75 + (count(Actuals!$C23:R23)/18*0.15)),1), round((36 -ModifiedAvg!R23)/2,1)))</f>
        <v>0</v>
      </c>
    </row>
    <row r="24">
      <c r="A24" s="13" t="str">
        <f>Actuals!B24</f>
        <v>Marc C</v>
      </c>
      <c r="B24" s="24">
        <f> if( ModifiedAvg!B24 =0,0,  if( ModifiedAvg!B24 &gt;=$B$2, ROUND(($B$2-ModifiedAvg!B24)* (0.75 + (count(Actuals!B24:$C24)/18*0.15)),1), round($B$2 -ModifiedAvg!B24,1)))</f>
        <v>-2.3</v>
      </c>
      <c r="C24" s="24">
        <f> if( ModifiedAvg!C24 =0,0,  if( ModifiedAvg!C24 &gt;=$C$2, ROUND(($C$2-ModifiedAvg!C24)* (0.75 + (count(Actuals!C24:$C24)/18*0.15)),1), round($C$2 -ModifiedAvg!C24,1)))</f>
        <v>-0.4</v>
      </c>
      <c r="D24" s="24">
        <f> if( ModifiedAvg!D24 =0,0,  if( ModifiedAvg!D24 &gt;=$D$2, ROUND(($D$2-ModifiedAvg!D24)*0.75,1), round($D$2 -ModifiedAvg!D24,1)))</f>
        <v>-1.7</v>
      </c>
      <c r="E24" s="24">
        <f> if( ModifiedAvg!E24 =0,0,  if( ModifiedAvg!E24 &gt;=36, ROUND((36-ModifiedAvg!E24)*0.75,1), round(36 -ModifiedAvg!E24,1)))</f>
        <v>-0.2</v>
      </c>
      <c r="F24" s="24">
        <f> if( ModifiedAvg!F24 =0,0,  if( ModifiedAvg!F24 &gt;=36, ROUND((36-ModifiedAvg!F24)* (0.75 + (count(Actuals!C24:F24)/18*0.15)),1), round(36 -ModifiedAvg!F24,1)))</f>
        <v>-0.2</v>
      </c>
      <c r="G24" s="24">
        <f> if( ModifiedAvg!G24 =0,0,  if( ModifiedAvg!G24 &gt;=36, ROUND((36-ModifiedAvg!G24)* (0.75 + (count(Actuals!$C24:G24)/18*0.15)),1), round(36 -ModifiedAvg!G24,1)))</f>
        <v>-0.2</v>
      </c>
      <c r="H24" s="24">
        <f> if( ModifiedAvg!H24 =0,0,  if( ModifiedAvg!H24 &gt;=36, ROUND((36-ModifiedAvg!H24)* (0.83),1), round(36 -ModifiedAvg!H24,1)))</f>
        <v>-0.2</v>
      </c>
      <c r="I24" s="24">
        <f> if( ModifiedAvg!I24 =0,0,  if( ModifiedAvg!I24 &gt;=36, ROUND((36-ModifiedAvg!I24)* (0.83),1), round(36 -ModifiedAvg!I24,1)))</f>
        <v>-0.2</v>
      </c>
      <c r="J24" s="24">
        <f> if( ModifiedAvg!J24 =0,0,  if( ModifiedAvg!J24 &gt;=36, ROUND((36-ModifiedAvg!J24)* (0.83),1), round(36 -ModifiedAvg!J24,1)))</f>
        <v>-0.2</v>
      </c>
      <c r="K24" s="24">
        <f> if( ModifiedAvg!K24 =0,0,  if( ModifiedAvg!K24 &gt;=36, ROUND((36-ModifiedAvg!K24)* (0.83),1), round(36 -ModifiedAvg!K24,1)))</f>
        <v>-0.2</v>
      </c>
      <c r="L24" s="24">
        <f> if( ModifiedAvg!L24 =0,0,  if( ModifiedAvg!L24 &gt;=36, ROUND((36-ModifiedAvg!L24)* (0.83),1), round(36 -ModifiedAvg!L24,1)))</f>
        <v>-0.2</v>
      </c>
      <c r="M24" s="24">
        <f> if( ModifiedAvg!M24 =0,0,  if( ModifiedAvg!M24 &gt;=36, ROUND((36-ModifiedAvg!M24)* (0.83),1), round(36 -ModifiedAvg!M24,1)))</f>
        <v>-0.2</v>
      </c>
      <c r="N24" s="24">
        <f> if( ModifiedAvg!N24 =0,0,  if( ModifiedAvg!N24 &gt;=36, ROUND((36-ModifiedAvg!N24)* (0.83),1), round(36 -ModifiedAvg!N24,1)))</f>
        <v>-0.2</v>
      </c>
      <c r="O24" s="24">
        <f> if( ModifiedAvg!O24 =0,0,  if( ModifiedAvg!O24 &gt;=36, ROUND((36-ModifiedAvg!O24)* (0.83),1), round(36 -ModifiedAvg!O24,1)))</f>
        <v>-0.2</v>
      </c>
      <c r="P24" s="24">
        <f> if( ModifiedAvg!P24 =0,0,  if( ModifiedAvg!P24 &gt;=36, ROUND((36-ModifiedAvg!P24)* (0.83),1), round(36 -ModifiedAvg!P24,1)))</f>
        <v>-0.2</v>
      </c>
      <c r="Q24" s="24">
        <f> if( ModifiedAvg!Q24 =0,0,  if( ModifiedAvg!Q24 &gt;=36, ROUND((36-ModifiedAvg!Q24)* (0.83),1), round(36 -ModifiedAvg!Q24,1)))</f>
        <v>-0.2</v>
      </c>
      <c r="R24" s="24">
        <f> if( ModifiedAvg!R24 =0,0,  if( ModifiedAvg!R24 &gt;=36, ROUND((36-ModifiedAvg!R24)* (0.75 + (count(Actuals!$C24:R24)/18*0.15)),1), round((36 -ModifiedAvg!R24)/2,1)))</f>
        <v>0</v>
      </c>
    </row>
    <row r="25">
      <c r="A25" s="13" t="str">
        <f>Actuals!B25</f>
        <v>Mark M</v>
      </c>
      <c r="B25" s="24">
        <f> if( ModifiedAvg!B25 =0,0,  if( ModifiedAvg!B25 &gt;=$B$2, ROUND(($B$2-ModifiedAvg!B25)* (0.75 + (count(Actuals!B25:$C25)/18*0.15)),1), round($B$2 -ModifiedAvg!B25,1)))</f>
        <v>-9.1</v>
      </c>
      <c r="C25" s="24">
        <f> if( ModifiedAvg!C25 =0,0,  if( ModifiedAvg!C25 &gt;=$C$2, ROUND(($C$2-ModifiedAvg!C25)* (0.75 + (count(Actuals!C25:$C25)/18*0.15)),1), round($C$2 -ModifiedAvg!C25,1)))</f>
        <v>-8</v>
      </c>
      <c r="D25" s="24">
        <f> if( ModifiedAvg!D25 =0,0,  if( ModifiedAvg!D25 &gt;=$D$2, ROUND(($D$2-ModifiedAvg!D25)*0.75,1), round($D$2 -ModifiedAvg!D25,1)))</f>
        <v>-8.7</v>
      </c>
      <c r="E25" s="24">
        <f> if( ModifiedAvg!E25 =0,0,  if( ModifiedAvg!E25 &gt;=36, ROUND((36-ModifiedAvg!E25)*0.75,1), round(36 -ModifiedAvg!E25,1)))</f>
        <v>-7.3</v>
      </c>
      <c r="F25" s="24">
        <f> if( ModifiedAvg!F25 =0,0,  if( ModifiedAvg!F25 &gt;=36, ROUND((36-ModifiedAvg!F25)* (0.75 + (count(Actuals!C25:F25)/18*0.15)),1), round(36 -ModifiedAvg!F25,1)))</f>
        <v>-7.5</v>
      </c>
      <c r="G25" s="24">
        <f> if( ModifiedAvg!G25 =0,0,  if( ModifiedAvg!G25 &gt;=36, ROUND((36-ModifiedAvg!G25)* (0.75 + (count(Actuals!$C25:G25)/18*0.15)),1), round(36 -ModifiedAvg!G25,1)))</f>
        <v>-7.5</v>
      </c>
      <c r="H25" s="24">
        <f> if( ModifiedAvg!H25 =0,0,  if( ModifiedAvg!H25 &gt;=36, ROUND((36-ModifiedAvg!H25)* (0.83),1), round(36 -ModifiedAvg!H25,1)))</f>
        <v>-8</v>
      </c>
      <c r="I25" s="24">
        <f> if( ModifiedAvg!I25 =0,0,  if( ModifiedAvg!I25 &gt;=36, ROUND((36-ModifiedAvg!I25)* (0.83),1), round(36 -ModifiedAvg!I25,1)))</f>
        <v>-8</v>
      </c>
      <c r="J25" s="24">
        <f> if( ModifiedAvg!J25 =0,0,  if( ModifiedAvg!J25 &gt;=36, ROUND((36-ModifiedAvg!J25)* (0.83),1), round(36 -ModifiedAvg!J25,1)))</f>
        <v>-8</v>
      </c>
      <c r="K25" s="24">
        <f> if( ModifiedAvg!K25 =0,0,  if( ModifiedAvg!K25 &gt;=36, ROUND((36-ModifiedAvg!K25)* (0.83),1), round(36 -ModifiedAvg!K25,1)))</f>
        <v>-8</v>
      </c>
      <c r="L25" s="24">
        <f> if( ModifiedAvg!L25 =0,0,  if( ModifiedAvg!L25 &gt;=36, ROUND((36-ModifiedAvg!L25)* (0.83),1), round(36 -ModifiedAvg!L25,1)))</f>
        <v>-8</v>
      </c>
      <c r="M25" s="24">
        <f> if( ModifiedAvg!M25 =0,0,  if( ModifiedAvg!M25 &gt;=36, ROUND((36-ModifiedAvg!M25)* (0.83),1), round(36 -ModifiedAvg!M25,1)))</f>
        <v>-8</v>
      </c>
      <c r="N25" s="24">
        <f> if( ModifiedAvg!N25 =0,0,  if( ModifiedAvg!N25 &gt;=36, ROUND((36-ModifiedAvg!N25)* (0.83),1), round(36 -ModifiedAvg!N25,1)))</f>
        <v>-8</v>
      </c>
      <c r="O25" s="24">
        <f> if( ModifiedAvg!O25 =0,0,  if( ModifiedAvg!O25 &gt;=36, ROUND((36-ModifiedAvg!O25)* (0.83),1), round(36 -ModifiedAvg!O25,1)))</f>
        <v>-8</v>
      </c>
      <c r="P25" s="24">
        <f> if( ModifiedAvg!P25 =0,0,  if( ModifiedAvg!P25 &gt;=36, ROUND((36-ModifiedAvg!P25)* (0.83),1), round(36 -ModifiedAvg!P25,1)))</f>
        <v>-8</v>
      </c>
      <c r="Q25" s="24">
        <f> if( ModifiedAvg!Q25 =0,0,  if( ModifiedAvg!Q25 &gt;=36, ROUND((36-ModifiedAvg!Q25)* (0.83),1), round(36 -ModifiedAvg!Q25,1)))</f>
        <v>-8</v>
      </c>
      <c r="R25" s="24">
        <f> if( ModifiedAvg!R25 =0,0,  if( ModifiedAvg!R25 &gt;=36, ROUND((36-ModifiedAvg!R25)* (0.75 + (count(Actuals!$C25:R25)/18*0.15)),1), round((36 -ModifiedAvg!R25)/2,1)))</f>
        <v>0</v>
      </c>
    </row>
    <row r="26">
      <c r="A26" s="13" t="str">
        <f>Actuals!B26</f>
        <v>Martin R</v>
      </c>
      <c r="B26" s="24">
        <f> if( ModifiedAvg!B26 =0,0,  if( ModifiedAvg!B26 &gt;=$B$2, ROUND(($B$2-ModifiedAvg!B26)* (0.75 + (count(Actuals!B26:$C26)/18*0.15)),1), round($B$2 -ModifiedAvg!B26,1)))</f>
        <v>-8.6</v>
      </c>
      <c r="C26" s="24">
        <f> if( ModifiedAvg!C26 =0,0,  if( ModifiedAvg!C26 &gt;=$C$2, ROUND(($C$2-ModifiedAvg!C26)* (0.75 + (count(Actuals!C26:$C26)/18*0.15)),1), round($C$2 -ModifiedAvg!C26,1)))</f>
        <v>-7.8</v>
      </c>
      <c r="D26" s="24">
        <f> if( ModifiedAvg!D26 =0,0,  if( ModifiedAvg!D26 &gt;=$D$2, ROUND(($D$2-ModifiedAvg!D26)*0.75,1), round($D$2 -ModifiedAvg!D26,1)))</f>
        <v>-8.6</v>
      </c>
      <c r="E26" s="24">
        <f> if( ModifiedAvg!E26 =0,0,  if( ModifiedAvg!E26 &gt;=36, ROUND((36-ModifiedAvg!E26)*0.75,1), round(36 -ModifiedAvg!E26,1)))</f>
        <v>-7.1</v>
      </c>
      <c r="F26" s="24">
        <f> if( ModifiedAvg!F26 =0,0,  if( ModifiedAvg!F26 &gt;=36, ROUND((36-ModifiedAvg!F26)* (0.75 + (count(Actuals!C26:F26)/18*0.15)),1), round(36 -ModifiedAvg!F26,1)))</f>
        <v>-7.1</v>
      </c>
      <c r="G26" s="24">
        <f> if( ModifiedAvg!G26 =0,0,  if( ModifiedAvg!G26 &gt;=36, ROUND((36-ModifiedAvg!G26)* (0.75 + (count(Actuals!$C26:G26)/18*0.15)),1), round(36 -ModifiedAvg!G26,1)))</f>
        <v>-7.1</v>
      </c>
      <c r="H26" s="24">
        <f> if( ModifiedAvg!H26 =0,0,  if( ModifiedAvg!H26 &gt;=36, ROUND((36-ModifiedAvg!H26)* (0.83),1), round(36 -ModifiedAvg!H26,1)))</f>
        <v>-7.8</v>
      </c>
      <c r="I26" s="24">
        <f> if( ModifiedAvg!I26 =0,0,  if( ModifiedAvg!I26 &gt;=36, ROUND((36-ModifiedAvg!I26)* (0.83),1), round(36 -ModifiedAvg!I26,1)))</f>
        <v>-7.8</v>
      </c>
      <c r="J26" s="24">
        <f> if( ModifiedAvg!J26 =0,0,  if( ModifiedAvg!J26 &gt;=36, ROUND((36-ModifiedAvg!J26)* (0.83),1), round(36 -ModifiedAvg!J26,1)))</f>
        <v>-7.8</v>
      </c>
      <c r="K26" s="24">
        <f> if( ModifiedAvg!K26 =0,0,  if( ModifiedAvg!K26 &gt;=36, ROUND((36-ModifiedAvg!K26)* (0.83),1), round(36 -ModifiedAvg!K26,1)))</f>
        <v>-7.8</v>
      </c>
      <c r="L26" s="24">
        <f> if( ModifiedAvg!L26 =0,0,  if( ModifiedAvg!L26 &gt;=36, ROUND((36-ModifiedAvg!L26)* (0.83),1), round(36 -ModifiedAvg!L26,1)))</f>
        <v>-7.8</v>
      </c>
      <c r="M26" s="24">
        <f> if( ModifiedAvg!M26 =0,0,  if( ModifiedAvg!M26 &gt;=36, ROUND((36-ModifiedAvg!M26)* (0.83),1), round(36 -ModifiedAvg!M26,1)))</f>
        <v>-7.8</v>
      </c>
      <c r="N26" s="24">
        <f> if( ModifiedAvg!N26 =0,0,  if( ModifiedAvg!N26 &gt;=36, ROUND((36-ModifiedAvg!N26)* (0.83),1), round(36 -ModifiedAvg!N26,1)))</f>
        <v>-7.8</v>
      </c>
      <c r="O26" s="24">
        <f> if( ModifiedAvg!O26 =0,0,  if( ModifiedAvg!O26 &gt;=36, ROUND((36-ModifiedAvg!O26)* (0.83),1), round(36 -ModifiedAvg!O26,1)))</f>
        <v>-7.8</v>
      </c>
      <c r="P26" s="24">
        <f> if( ModifiedAvg!P26 =0,0,  if( ModifiedAvg!P26 &gt;=36, ROUND((36-ModifiedAvg!P26)* (0.83),1), round(36 -ModifiedAvg!P26,1)))</f>
        <v>-7.8</v>
      </c>
      <c r="Q26" s="24">
        <f> if( ModifiedAvg!Q26 =0,0,  if( ModifiedAvg!Q26 &gt;=36, ROUND((36-ModifiedAvg!Q26)* (0.83),1), round(36 -ModifiedAvg!Q26,1)))</f>
        <v>-7.8</v>
      </c>
      <c r="R26" s="24">
        <f> if( ModifiedAvg!R26 =0,0,  if( ModifiedAvg!R26 &gt;=36, ROUND((36-ModifiedAvg!R26)* (0.75 + (count(Actuals!$C26:R26)/18*0.15)),1), round((36 -ModifiedAvg!R26)/2,1)))</f>
        <v>0</v>
      </c>
    </row>
    <row r="27">
      <c r="A27" s="13" t="str">
        <f>Actuals!B27</f>
        <v>Minji S</v>
      </c>
      <c r="B27" s="24">
        <f> if( ModifiedAvg!B27 =0,0,  if( ModifiedAvg!B27 &gt;=$B$2, ROUND(($B$2-ModifiedAvg!B27)* (0.75 + (count(Actuals!B27:$C27)/18*0.15)),1), round($B$2 -ModifiedAvg!B27,1)))</f>
        <v>-13.2</v>
      </c>
      <c r="C27" s="24">
        <f> if( ModifiedAvg!C27 =0,0,  if( ModifiedAvg!C27 &gt;=$C$2, ROUND(($C$2-ModifiedAvg!C27)* (0.75 + (count(Actuals!C27:$C27)/18*0.15)),1), round($C$2 -ModifiedAvg!C27,1)))</f>
        <v>-12.5</v>
      </c>
      <c r="D27" s="24">
        <f> if( ModifiedAvg!D27 =0,0,  if( ModifiedAvg!D27 &gt;=$D$2, ROUND(($D$2-ModifiedAvg!D27)*0.75,1), round($D$2 -ModifiedAvg!D27,1)))</f>
        <v>-13.2</v>
      </c>
      <c r="E27" s="24">
        <f> if( ModifiedAvg!E27 =0,0,  if( ModifiedAvg!E27 &gt;=36, ROUND((36-ModifiedAvg!E27)*0.75,1), round(36 -ModifiedAvg!E27,1)))</f>
        <v>-11.7</v>
      </c>
      <c r="F27" s="24">
        <f> if( ModifiedAvg!F27 =0,0,  if( ModifiedAvg!F27 &gt;=36, ROUND((36-ModifiedAvg!F27)* (0.75 + (count(Actuals!C27:F27)/18*0.15)),1), round(36 -ModifiedAvg!F27,1)))</f>
        <v>-11.7</v>
      </c>
      <c r="G27" s="24">
        <f> if( ModifiedAvg!G27 =0,0,  if( ModifiedAvg!G27 &gt;=36, ROUND((36-ModifiedAvg!G27)* (0.75 + (count(Actuals!$C27:G27)/18*0.15)),1), round(36 -ModifiedAvg!G27,1)))</f>
        <v>-11.7</v>
      </c>
      <c r="H27" s="24">
        <f> if( ModifiedAvg!H27 =0,0,  if( ModifiedAvg!H27 &gt;=36, ROUND((36-ModifiedAvg!H27)* (0.83),1), round(36 -ModifiedAvg!H27,1)))</f>
        <v>-12.9</v>
      </c>
      <c r="I27" s="24">
        <f> if( ModifiedAvg!I27 =0,0,  if( ModifiedAvg!I27 &gt;=36, ROUND((36-ModifiedAvg!I27)* (0.83),1), round(36 -ModifiedAvg!I27,1)))</f>
        <v>-12.9</v>
      </c>
      <c r="J27" s="24">
        <f> if( ModifiedAvg!J27 =0,0,  if( ModifiedAvg!J27 &gt;=36, ROUND((36-ModifiedAvg!J27)* (0.83),1), round(36 -ModifiedAvg!J27,1)))</f>
        <v>-12.9</v>
      </c>
      <c r="K27" s="24">
        <f> if( ModifiedAvg!K27 =0,0,  if( ModifiedAvg!K27 &gt;=36, ROUND((36-ModifiedAvg!K27)* (0.83),1), round(36 -ModifiedAvg!K27,1)))</f>
        <v>-12.9</v>
      </c>
      <c r="L27" s="24">
        <f> if( ModifiedAvg!L27 =0,0,  if( ModifiedAvg!L27 &gt;=36, ROUND((36-ModifiedAvg!L27)* (0.83),1), round(36 -ModifiedAvg!L27,1)))</f>
        <v>-12.9</v>
      </c>
      <c r="M27" s="24">
        <f> if( ModifiedAvg!M27 =0,0,  if( ModifiedAvg!M27 &gt;=36, ROUND((36-ModifiedAvg!M27)* (0.83),1), round(36 -ModifiedAvg!M27,1)))</f>
        <v>-12.9</v>
      </c>
      <c r="N27" s="24">
        <f> if( ModifiedAvg!N27 =0,0,  if( ModifiedAvg!N27 &gt;=36, ROUND((36-ModifiedAvg!N27)* (0.83),1), round(36 -ModifiedAvg!N27,1)))</f>
        <v>-12.9</v>
      </c>
      <c r="O27" s="24">
        <f> if( ModifiedAvg!O27 =0,0,  if( ModifiedAvg!O27 &gt;=36, ROUND((36-ModifiedAvg!O27)* (0.83),1), round(36 -ModifiedAvg!O27,1)))</f>
        <v>-12.9</v>
      </c>
      <c r="P27" s="24">
        <f> if( ModifiedAvg!P27 =0,0,  if( ModifiedAvg!P27 &gt;=36, ROUND((36-ModifiedAvg!P27)* (0.83),1), round(36 -ModifiedAvg!P27,1)))</f>
        <v>-12.9</v>
      </c>
      <c r="Q27" s="24">
        <f> if( ModifiedAvg!Q27 =0,0,  if( ModifiedAvg!Q27 &gt;=36, ROUND((36-ModifiedAvg!Q27)* (0.83),1), round(36 -ModifiedAvg!Q27,1)))</f>
        <v>-12.9</v>
      </c>
      <c r="R27" s="24">
        <f> if( ModifiedAvg!R27 =0,0,  if( ModifiedAvg!R27 &gt;=36, ROUND((36-ModifiedAvg!R27)* (0.75 + (count(Actuals!$C27:R27)/18*0.15)),1), round((36 -ModifiedAvg!R27)/2,1)))</f>
        <v>0</v>
      </c>
    </row>
    <row r="28">
      <c r="A28" s="13" t="str">
        <f>Actuals!B28</f>
        <v>Nate R</v>
      </c>
      <c r="B28" s="24">
        <f> if( ModifiedAvg!B28 =0,0,  if( ModifiedAvg!B28 &gt;=$B$2, ROUND(($B$2-ModifiedAvg!B28)* (0.75 + (count(Actuals!B28:$C28)/18*0.15)),1), round($B$2 -ModifiedAvg!B28,1)))</f>
        <v>-13.6</v>
      </c>
      <c r="C28" s="24">
        <f> if( ModifiedAvg!C28 =0,0,  if( ModifiedAvg!C28 &gt;=$C$2, ROUND(($C$2-ModifiedAvg!C28)* (0.75 + (count(Actuals!C28:$C28)/18*0.15)),1), round($C$2 -ModifiedAvg!C28,1)))</f>
        <v>-13</v>
      </c>
      <c r="D28" s="24">
        <f> if( ModifiedAvg!D28 =0,0,  if( ModifiedAvg!D28 &gt;=$D$2, ROUND(($D$2-ModifiedAvg!D28)*0.75,1), round($D$2 -ModifiedAvg!D28,1)))</f>
        <v>-13.9</v>
      </c>
      <c r="E28" s="24">
        <f> if( ModifiedAvg!E28 =0,0,  if( ModifiedAvg!E28 &gt;=36, ROUND((36-ModifiedAvg!E28)*0.75,1), round(36 -ModifiedAvg!E28,1)))</f>
        <v>-12.4</v>
      </c>
      <c r="F28" s="24">
        <f> if( ModifiedAvg!F28 =0,0,  if( ModifiedAvg!F28 &gt;=36, ROUND((36-ModifiedAvg!F28)* (0.75 + (count(Actuals!C28:F28)/18*0.15)),1), round(36 -ModifiedAvg!F28,1)))</f>
        <v>-12.8</v>
      </c>
      <c r="G28" s="24">
        <f> if( ModifiedAvg!G28 =0,0,  if( ModifiedAvg!G28 &gt;=36, ROUND((36-ModifiedAvg!G28)* (0.75 + (count(Actuals!$C28:G28)/18*0.15)),1), round(36 -ModifiedAvg!G28,1)))</f>
        <v>-12.8</v>
      </c>
      <c r="H28" s="24">
        <f> if( ModifiedAvg!H28 =0,0,  if( ModifiedAvg!H28 &gt;=36, ROUND((36-ModifiedAvg!H28)* (0.83),1), round(36 -ModifiedAvg!H28,1)))</f>
        <v>-13.8</v>
      </c>
      <c r="I28" s="24">
        <f> if( ModifiedAvg!I28 =0,0,  if( ModifiedAvg!I28 &gt;=36, ROUND((36-ModifiedAvg!I28)* (0.83),1), round(36 -ModifiedAvg!I28,1)))</f>
        <v>-13.8</v>
      </c>
      <c r="J28" s="24">
        <f> if( ModifiedAvg!J28 =0,0,  if( ModifiedAvg!J28 &gt;=36, ROUND((36-ModifiedAvg!J28)* (0.83),1), round(36 -ModifiedAvg!J28,1)))</f>
        <v>-13.8</v>
      </c>
      <c r="K28" s="24">
        <f> if( ModifiedAvg!K28 =0,0,  if( ModifiedAvg!K28 &gt;=36, ROUND((36-ModifiedAvg!K28)* (0.83),1), round(36 -ModifiedAvg!K28,1)))</f>
        <v>-13.8</v>
      </c>
      <c r="L28" s="24">
        <f> if( ModifiedAvg!L28 =0,0,  if( ModifiedAvg!L28 &gt;=36, ROUND((36-ModifiedAvg!L28)* (0.83),1), round(36 -ModifiedAvg!L28,1)))</f>
        <v>-13.8</v>
      </c>
      <c r="M28" s="24">
        <f> if( ModifiedAvg!M28 =0,0,  if( ModifiedAvg!M28 &gt;=36, ROUND((36-ModifiedAvg!M28)* (0.83),1), round(36 -ModifiedAvg!M28,1)))</f>
        <v>-13.8</v>
      </c>
      <c r="N28" s="24">
        <f> if( ModifiedAvg!N28 =0,0,  if( ModifiedAvg!N28 &gt;=36, ROUND((36-ModifiedAvg!N28)* (0.83),1), round(36 -ModifiedAvg!N28,1)))</f>
        <v>-13.8</v>
      </c>
      <c r="O28" s="24">
        <f> if( ModifiedAvg!O28 =0,0,  if( ModifiedAvg!O28 &gt;=36, ROUND((36-ModifiedAvg!O28)* (0.83),1), round(36 -ModifiedAvg!O28,1)))</f>
        <v>-13.8</v>
      </c>
      <c r="P28" s="24">
        <f> if( ModifiedAvg!P28 =0,0,  if( ModifiedAvg!P28 &gt;=36, ROUND((36-ModifiedAvg!P28)* (0.83),1), round(36 -ModifiedAvg!P28,1)))</f>
        <v>-13.8</v>
      </c>
      <c r="Q28" s="24">
        <f> if( ModifiedAvg!Q28 =0,0,  if( ModifiedAvg!Q28 &gt;=36, ROUND((36-ModifiedAvg!Q28)* (0.83),1), round(36 -ModifiedAvg!Q28,1)))</f>
        <v>-13.8</v>
      </c>
      <c r="R28" s="24">
        <f> if( ModifiedAvg!R28 =0,0,  if( ModifiedAvg!R28 &gt;=36, ROUND((36-ModifiedAvg!R28)* (0.75 + (count(Actuals!$C28:R28)/18*0.15)),1), round((36 -ModifiedAvg!R28)/2,1)))</f>
        <v>0</v>
      </c>
    </row>
    <row r="29">
      <c r="A29" s="13" t="str">
        <f>Actuals!B29</f>
        <v>Phil J</v>
      </c>
      <c r="B29" s="24">
        <f> if( ModifiedAvg!B29 =0,0,  if( ModifiedAvg!B29 &gt;=$B$2, ROUND(($B$2-ModifiedAvg!B29)* (0.75 + (count(Actuals!B29:$C29)/18*0.15)),1), round($B$2 -ModifiedAvg!B29,1)))</f>
        <v>0</v>
      </c>
      <c r="C29" s="24">
        <f> if( ModifiedAvg!C29 =0,0,  if( ModifiedAvg!C29 &gt;=$C$2, ROUND(($C$2-ModifiedAvg!C29)* (0.75 + (count(Actuals!C29:$C29)/18*0.15)),1), round($C$2 -ModifiedAvg!C29,1)))</f>
        <v>0</v>
      </c>
      <c r="D29" s="24">
        <f> if( ModifiedAvg!D29 =0,0,  if( ModifiedAvg!D29 &gt;=$D$2, ROUND(($D$2-ModifiedAvg!D29)*0.75,1), round($D$2 -ModifiedAvg!D29,1)))</f>
        <v>0</v>
      </c>
      <c r="E29" s="24">
        <f> if( ModifiedAvg!E29 =0,0,  if( ModifiedAvg!E29 &gt;=36, ROUND((36-ModifiedAvg!E29)*0.75,1), round(36 -ModifiedAvg!E29,1)))</f>
        <v>0</v>
      </c>
      <c r="F29" s="24">
        <f> if( ModifiedAvg!F29 =0,0,  if( ModifiedAvg!F29 &gt;=36, ROUND((36-ModifiedAvg!F29)* (0.75 + (count(Actuals!C29:F29)/18*0.15)),1), round(36 -ModifiedAvg!F29,1)))</f>
        <v>0</v>
      </c>
      <c r="G29" s="24">
        <f> if( ModifiedAvg!G29 =0,0,  if( ModifiedAvg!G29 &gt;=36, ROUND((36-ModifiedAvg!G29)* (0.75 + (count(Actuals!$C29:G29)/18*0.15)),1), round(36 -ModifiedAvg!G29,1)))</f>
        <v>0</v>
      </c>
      <c r="H29" s="24">
        <f> if( ModifiedAvg!H29 =0,0,  if( ModifiedAvg!H29 &gt;=36, ROUND((36-ModifiedAvg!H29)* (0.83),1), round(36 -ModifiedAvg!H29,1)))</f>
        <v>0</v>
      </c>
      <c r="I29" s="24">
        <f> if( ModifiedAvg!I29 =0,0,  if( ModifiedAvg!I29 &gt;=36, ROUND((36-ModifiedAvg!I29)* (0.83),1), round(36 -ModifiedAvg!I29,1)))</f>
        <v>0</v>
      </c>
      <c r="J29" s="24">
        <f> if( ModifiedAvg!J29 =0,0,  if( ModifiedAvg!J29 &gt;=36, ROUND((36-ModifiedAvg!J29)* (0.83),1), round(36 -ModifiedAvg!J29,1)))</f>
        <v>0</v>
      </c>
      <c r="K29" s="24">
        <f> if( ModifiedAvg!K29 =0,0,  if( ModifiedAvg!K29 &gt;=36, ROUND((36-ModifiedAvg!K29)* (0.83),1), round(36 -ModifiedAvg!K29,1)))</f>
        <v>0</v>
      </c>
      <c r="L29" s="24">
        <f> if( ModifiedAvg!L29 =0,0,  if( ModifiedAvg!L29 &gt;=36, ROUND((36-ModifiedAvg!L29)* (0.83),1), round(36 -ModifiedAvg!L29,1)))</f>
        <v>0</v>
      </c>
      <c r="M29" s="24">
        <f> if( ModifiedAvg!M29 =0,0,  if( ModifiedAvg!M29 &gt;=36, ROUND((36-ModifiedAvg!M29)* (0.83),1), round(36 -ModifiedAvg!M29,1)))</f>
        <v>0</v>
      </c>
      <c r="N29" s="24">
        <f> if( ModifiedAvg!N29 =0,0,  if( ModifiedAvg!N29 &gt;=36, ROUND((36-ModifiedAvg!N29)* (0.83),1), round(36 -ModifiedAvg!N29,1)))</f>
        <v>0</v>
      </c>
      <c r="O29" s="24">
        <f> if( ModifiedAvg!O29 =0,0,  if( ModifiedAvg!O29 &gt;=36, ROUND((36-ModifiedAvg!O29)* (0.83),1), round(36 -ModifiedAvg!O29,1)))</f>
        <v>0</v>
      </c>
      <c r="P29" s="24">
        <f> if( ModifiedAvg!P29 =0,0,  if( ModifiedAvg!P29 &gt;=36, ROUND((36-ModifiedAvg!P29)* (0.83),1), round(36 -ModifiedAvg!P29,1)))</f>
        <v>0</v>
      </c>
      <c r="Q29" s="24">
        <f> if( ModifiedAvg!Q29 =0,0,  if( ModifiedAvg!Q29 &gt;=36, ROUND((36-ModifiedAvg!Q29)* (0.83),1), round(36 -ModifiedAvg!Q29,1)))</f>
        <v>0</v>
      </c>
      <c r="R29" s="24">
        <f> if( ModifiedAvg!R29 =0,0,  if( ModifiedAvg!R29 &gt;=36, ROUND((36-ModifiedAvg!R29)* (0.75 + (count(Actuals!$C29:R29)/18*0.15)),1), round((36 -ModifiedAvg!R29)/2,1)))</f>
        <v>0</v>
      </c>
    </row>
    <row r="30">
      <c r="A30" s="13" t="str">
        <f>Actuals!B30</f>
        <v>Preston C</v>
      </c>
      <c r="B30" s="24">
        <f> if( ModifiedAvg!B30 =0,0,  if( ModifiedAvg!B30 &gt;=$B$2, ROUND(($B$2-ModifiedAvg!B30)* (0.75 + (count(Actuals!B30:$C30)/18*0.15)),1), round($B$2 -ModifiedAvg!B30,1)))</f>
        <v>-4.1</v>
      </c>
      <c r="C30" s="24">
        <f> if( ModifiedAvg!C30 =0,0,  if( ModifiedAvg!C30 &gt;=$C$2, ROUND(($C$2-ModifiedAvg!C30)* (0.75 + (count(Actuals!C30:$C30)/18*0.15)),1), round($C$2 -ModifiedAvg!C30,1)))</f>
        <v>-2.8</v>
      </c>
      <c r="D30" s="24">
        <f> if( ModifiedAvg!D30 =0,0,  if( ModifiedAvg!D30 &gt;=$D$2, ROUND(($D$2-ModifiedAvg!D30)*0.75,1), round($D$2 -ModifiedAvg!D30,1)))</f>
        <v>-4.2</v>
      </c>
      <c r="E30" s="24">
        <f> if( ModifiedAvg!E30 =0,0,  if( ModifiedAvg!E30 &gt;=36, ROUND((36-ModifiedAvg!E30)*0.75,1), round(36 -ModifiedAvg!E30,1)))</f>
        <v>-2.7</v>
      </c>
      <c r="F30" s="24">
        <f> if( ModifiedAvg!F30 =0,0,  if( ModifiedAvg!F30 &gt;=36, ROUND((36-ModifiedAvg!F30)* (0.75 + (count(Actuals!C30:F30)/18*0.15)),1), round(36 -ModifiedAvg!F30,1)))</f>
        <v>-2.8</v>
      </c>
      <c r="G30" s="24">
        <f> if( ModifiedAvg!G30 =0,0,  if( ModifiedAvg!G30 &gt;=36, ROUND((36-ModifiedAvg!G30)* (0.75 + (count(Actuals!$C30:G30)/18*0.15)),1), round(36 -ModifiedAvg!G30,1)))</f>
        <v>-2.8</v>
      </c>
      <c r="H30" s="24">
        <f> if( ModifiedAvg!H30 =0,0,  if( ModifiedAvg!H30 &gt;=36, ROUND((36-ModifiedAvg!H30)* (0.83),1), round(36 -ModifiedAvg!H30,1)))</f>
        <v>-3</v>
      </c>
      <c r="I30" s="24">
        <f> if( ModifiedAvg!I30 =0,0,  if( ModifiedAvg!I30 &gt;=36, ROUND((36-ModifiedAvg!I30)* (0.83),1), round(36 -ModifiedAvg!I30,1)))</f>
        <v>-3</v>
      </c>
      <c r="J30" s="24">
        <f> if( ModifiedAvg!J30 =0,0,  if( ModifiedAvg!J30 &gt;=36, ROUND((36-ModifiedAvg!J30)* (0.83),1), round(36 -ModifiedAvg!J30,1)))</f>
        <v>-3</v>
      </c>
      <c r="K30" s="24">
        <f> if( ModifiedAvg!K30 =0,0,  if( ModifiedAvg!K30 &gt;=36, ROUND((36-ModifiedAvg!K30)* (0.83),1), round(36 -ModifiedAvg!K30,1)))</f>
        <v>-3</v>
      </c>
      <c r="L30" s="24">
        <f> if( ModifiedAvg!L30 =0,0,  if( ModifiedAvg!L30 &gt;=36, ROUND((36-ModifiedAvg!L30)* (0.83),1), round(36 -ModifiedAvg!L30,1)))</f>
        <v>-3</v>
      </c>
      <c r="M30" s="24">
        <f> if( ModifiedAvg!M30 =0,0,  if( ModifiedAvg!M30 &gt;=36, ROUND((36-ModifiedAvg!M30)* (0.83),1), round(36 -ModifiedAvg!M30,1)))</f>
        <v>-3</v>
      </c>
      <c r="N30" s="24">
        <f> if( ModifiedAvg!N30 =0,0,  if( ModifiedAvg!N30 &gt;=36, ROUND((36-ModifiedAvg!N30)* (0.83),1), round(36 -ModifiedAvg!N30,1)))</f>
        <v>-3</v>
      </c>
      <c r="O30" s="24">
        <f> if( ModifiedAvg!O30 =0,0,  if( ModifiedAvg!O30 &gt;=36, ROUND((36-ModifiedAvg!O30)* (0.83),1), round(36 -ModifiedAvg!O30,1)))</f>
        <v>-3</v>
      </c>
      <c r="P30" s="24">
        <f> if( ModifiedAvg!P30 =0,0,  if( ModifiedAvg!P30 &gt;=36, ROUND((36-ModifiedAvg!P30)* (0.83),1), round(36 -ModifiedAvg!P30,1)))</f>
        <v>-3</v>
      </c>
      <c r="Q30" s="24">
        <f> if( ModifiedAvg!Q30 =0,0,  if( ModifiedAvg!Q30 &gt;=36, ROUND((36-ModifiedAvg!Q30)* (0.83),1), round(36 -ModifiedAvg!Q30,1)))</f>
        <v>-3</v>
      </c>
      <c r="R30" s="24">
        <f> if( ModifiedAvg!R30 =0,0,  if( ModifiedAvg!R30 &gt;=36, ROUND((36-ModifiedAvg!R30)* (0.75 + (count(Actuals!$C30:R30)/18*0.15)),1), round((36 -ModifiedAvg!R30)/2,1)))</f>
        <v>0</v>
      </c>
    </row>
    <row r="31">
      <c r="A31" s="13" t="str">
        <f>Actuals!B31</f>
        <v>Rich</v>
      </c>
      <c r="B31" s="24">
        <f> if( ModifiedAvg!B31 =0,0,  if( ModifiedAvg!B31 &gt;=$B$2, ROUND(($B$2-ModifiedAvg!B31)* (0.75 + (count(Actuals!B31:$C31)/18*0.15)),1), round($B$2 -ModifiedAvg!B31,1)))</f>
        <v>-9.4</v>
      </c>
      <c r="C31" s="24">
        <f> if( ModifiedAvg!C31 =0,0,  if( ModifiedAvg!C31 &gt;=$C$2, ROUND(($C$2-ModifiedAvg!C31)* (0.75 + (count(Actuals!C31:$C31)/18*0.15)),1), round($C$2 -ModifiedAvg!C31,1)))</f>
        <v>-8.7</v>
      </c>
      <c r="D31" s="24">
        <f> if( ModifiedAvg!D31 =0,0,  if( ModifiedAvg!D31 &gt;=$D$2, ROUND(($D$2-ModifiedAvg!D31)*0.75,1), round($D$2 -ModifiedAvg!D31,1)))</f>
        <v>-9.4</v>
      </c>
      <c r="E31" s="24">
        <f> if( ModifiedAvg!E31 =0,0,  if( ModifiedAvg!E31 &gt;=36, ROUND((36-ModifiedAvg!E31)*0.75,1), round(36 -ModifiedAvg!E31,1)))</f>
        <v>-7</v>
      </c>
      <c r="F31" s="24">
        <f> if( ModifiedAvg!F31 =0,0,  if( ModifiedAvg!F31 &gt;=36, ROUND((36-ModifiedAvg!F31)* (0.75 + (count(Actuals!C31:F31)/18*0.15)),1), round(36 -ModifiedAvg!F31,1)))</f>
        <v>-7</v>
      </c>
      <c r="G31" s="24">
        <f> if( ModifiedAvg!G31 =0,0,  if( ModifiedAvg!G31 &gt;=36, ROUND((36-ModifiedAvg!G31)* (0.75 + (count(Actuals!$C31:G31)/18*0.15)),1), round(36 -ModifiedAvg!G31,1)))</f>
        <v>-7</v>
      </c>
      <c r="H31" s="24">
        <f> if( ModifiedAvg!H31 =0,0,  if( ModifiedAvg!H31 &gt;=36, ROUND((36-ModifiedAvg!H31)* (0.83),1), round(36 -ModifiedAvg!H31,1)))</f>
        <v>-7.7</v>
      </c>
      <c r="I31" s="24">
        <f> if( ModifiedAvg!I31 =0,0,  if( ModifiedAvg!I31 &gt;=36, ROUND((36-ModifiedAvg!I31)* (0.83),1), round(36 -ModifiedAvg!I31,1)))</f>
        <v>-7.7</v>
      </c>
      <c r="J31" s="24">
        <f> if( ModifiedAvg!J31 =0,0,  if( ModifiedAvg!J31 &gt;=36, ROUND((36-ModifiedAvg!J31)* (0.83),1), round(36 -ModifiedAvg!J31,1)))</f>
        <v>-7.7</v>
      </c>
      <c r="K31" s="24">
        <f> if( ModifiedAvg!K31 =0,0,  if( ModifiedAvg!K31 &gt;=36, ROUND((36-ModifiedAvg!K31)* (0.83),1), round(36 -ModifiedAvg!K31,1)))</f>
        <v>-7.7</v>
      </c>
      <c r="L31" s="24">
        <f> if( ModifiedAvg!L31 =0,0,  if( ModifiedAvg!L31 &gt;=36, ROUND((36-ModifiedAvg!L31)* (0.83),1), round(36 -ModifiedAvg!L31,1)))</f>
        <v>-7.7</v>
      </c>
      <c r="M31" s="24">
        <f> if( ModifiedAvg!M31 =0,0,  if( ModifiedAvg!M31 &gt;=36, ROUND((36-ModifiedAvg!M31)* (0.83),1), round(36 -ModifiedAvg!M31,1)))</f>
        <v>-7.7</v>
      </c>
      <c r="N31" s="24">
        <f> if( ModifiedAvg!N31 =0,0,  if( ModifiedAvg!N31 &gt;=36, ROUND((36-ModifiedAvg!N31)* (0.83),1), round(36 -ModifiedAvg!N31,1)))</f>
        <v>-7.7</v>
      </c>
      <c r="O31" s="24">
        <f> if( ModifiedAvg!O31 =0,0,  if( ModifiedAvg!O31 &gt;=36, ROUND((36-ModifiedAvg!O31)* (0.83),1), round(36 -ModifiedAvg!O31,1)))</f>
        <v>-7.7</v>
      </c>
      <c r="P31" s="24">
        <f> if( ModifiedAvg!P31 =0,0,  if( ModifiedAvg!P31 &gt;=36, ROUND((36-ModifiedAvg!P31)* (0.83),1), round(36 -ModifiedAvg!P31,1)))</f>
        <v>-7.7</v>
      </c>
      <c r="Q31" s="24">
        <f> if( ModifiedAvg!Q31 =0,0,  if( ModifiedAvg!Q31 &gt;=36, ROUND((36-ModifiedAvg!Q31)* (0.83),1), round(36 -ModifiedAvg!Q31,1)))</f>
        <v>-7.7</v>
      </c>
      <c r="R31" s="24">
        <f> if( ModifiedAvg!R31 =0,0,  if( ModifiedAvg!R31 &gt;=36, ROUND((36-ModifiedAvg!R31)* (0.75 + (count(Actuals!$C31:R31)/18*0.15)),1), round((36 -ModifiedAvg!R31)/2,1)))</f>
        <v>0</v>
      </c>
    </row>
    <row r="32">
      <c r="A32" s="13" t="str">
        <f>Actuals!B32</f>
        <v>Russ B</v>
      </c>
      <c r="B32" s="24">
        <f> if( ModifiedAvg!B32 =0,0,  if( ModifiedAvg!B32 &gt;=$B$2, ROUND(($B$2-ModifiedAvg!B32)* (0.75 + (count(Actuals!B32:$C32)/18*0.15)),1), round($B$2 -ModifiedAvg!B32,1)))</f>
        <v>-5.5</v>
      </c>
      <c r="C32" s="24">
        <f> if( ModifiedAvg!C32 =0,0,  if( ModifiedAvg!C32 &gt;=$C$2, ROUND(($C$2-ModifiedAvg!C32)* (0.75 + (count(Actuals!C32:$C32)/18*0.15)),1), round($C$2 -ModifiedAvg!C32,1)))</f>
        <v>-4.8</v>
      </c>
      <c r="D32" s="24">
        <f> if( ModifiedAvg!D32 =0,0,  if( ModifiedAvg!D32 &gt;=$D$2, ROUND(($D$2-ModifiedAvg!D32)*0.75,1), round($D$2 -ModifiedAvg!D32,1)))</f>
        <v>-5.5</v>
      </c>
      <c r="E32" s="24">
        <f> if( ModifiedAvg!E32 =0,0,  if( ModifiedAvg!E32 &gt;=36, ROUND((36-ModifiedAvg!E32)*0.75,1), round(36 -ModifiedAvg!E32,1)))</f>
        <v>-4</v>
      </c>
      <c r="F32" s="24">
        <f> if( ModifiedAvg!F32 =0,0,  if( ModifiedAvg!F32 &gt;=36, ROUND((36-ModifiedAvg!F32)* (0.75 + (count(Actuals!C32:F32)/18*0.15)),1), round(36 -ModifiedAvg!F32,1)))</f>
        <v>-4</v>
      </c>
      <c r="G32" s="24">
        <f> if( ModifiedAvg!G32 =0,0,  if( ModifiedAvg!G32 &gt;=36, ROUND((36-ModifiedAvg!G32)* (0.75 + (count(Actuals!$C32:G32)/18*0.15)),1), round(36 -ModifiedAvg!G32,1)))</f>
        <v>-4</v>
      </c>
      <c r="H32" s="24">
        <f> if( ModifiedAvg!H32 =0,0,  if( ModifiedAvg!H32 &gt;=36, ROUND((36-ModifiedAvg!H32)* (0.83),1), round(36 -ModifiedAvg!H32,1)))</f>
        <v>-4.5</v>
      </c>
      <c r="I32" s="24">
        <f> if( ModifiedAvg!I32 =0,0,  if( ModifiedAvg!I32 &gt;=36, ROUND((36-ModifiedAvg!I32)* (0.83),1), round(36 -ModifiedAvg!I32,1)))</f>
        <v>-4.5</v>
      </c>
      <c r="J32" s="24">
        <f> if( ModifiedAvg!J32 =0,0,  if( ModifiedAvg!J32 &gt;=36, ROUND((36-ModifiedAvg!J32)* (0.83),1), round(36 -ModifiedAvg!J32,1)))</f>
        <v>-4.5</v>
      </c>
      <c r="K32" s="24">
        <f> if( ModifiedAvg!K32 =0,0,  if( ModifiedAvg!K32 &gt;=36, ROUND((36-ModifiedAvg!K32)* (0.83),1), round(36 -ModifiedAvg!K32,1)))</f>
        <v>-4.5</v>
      </c>
      <c r="L32" s="24">
        <f> if( ModifiedAvg!L32 =0,0,  if( ModifiedAvg!L32 &gt;=36, ROUND((36-ModifiedAvg!L32)* (0.83),1), round(36 -ModifiedAvg!L32,1)))</f>
        <v>-4.5</v>
      </c>
      <c r="M32" s="24">
        <f> if( ModifiedAvg!M32 =0,0,  if( ModifiedAvg!M32 &gt;=36, ROUND((36-ModifiedAvg!M32)* (0.83),1), round(36 -ModifiedAvg!M32,1)))</f>
        <v>-4.5</v>
      </c>
      <c r="N32" s="24">
        <f> if( ModifiedAvg!N32 =0,0,  if( ModifiedAvg!N32 &gt;=36, ROUND((36-ModifiedAvg!N32)* (0.83),1), round(36 -ModifiedAvg!N32,1)))</f>
        <v>-4.5</v>
      </c>
      <c r="O32" s="24">
        <f> if( ModifiedAvg!O32 =0,0,  if( ModifiedAvg!O32 &gt;=36, ROUND((36-ModifiedAvg!O32)* (0.83),1), round(36 -ModifiedAvg!O32,1)))</f>
        <v>-4.5</v>
      </c>
      <c r="P32" s="24">
        <f> if( ModifiedAvg!P32 =0,0,  if( ModifiedAvg!P32 &gt;=36, ROUND((36-ModifiedAvg!P32)* (0.83),1), round(36 -ModifiedAvg!P32,1)))</f>
        <v>-4.5</v>
      </c>
      <c r="Q32" s="24">
        <f> if( ModifiedAvg!Q32 =0,0,  if( ModifiedAvg!Q32 &gt;=36, ROUND((36-ModifiedAvg!Q32)* (0.83),1), round(36 -ModifiedAvg!Q32,1)))</f>
        <v>-4.5</v>
      </c>
      <c r="R32" s="24">
        <f> if( ModifiedAvg!R32 =0,0,  if( ModifiedAvg!R32 &gt;=36, ROUND((36-ModifiedAvg!R32)* (0.75 + (count(Actuals!$C32:R32)/18*0.15)),1), round((36 -ModifiedAvg!R32)/2,1)))</f>
        <v>0</v>
      </c>
    </row>
    <row r="33">
      <c r="A33" s="13" t="str">
        <f>Actuals!B33</f>
        <v>Russ H</v>
      </c>
      <c r="B33" s="24">
        <f> if( ModifiedAvg!B33 =0,0,  if( ModifiedAvg!B33 &gt;=$B$2, ROUND(($B$2-ModifiedAvg!B33)* (0.75 + (count(Actuals!B33:$C33)/18*0.15)),1), round($B$2 -ModifiedAvg!B33,1)))</f>
        <v>-8.3</v>
      </c>
      <c r="C33" s="24">
        <f> if( ModifiedAvg!C33 =0,0,  if( ModifiedAvg!C33 &gt;=$C$2, ROUND(($C$2-ModifiedAvg!C33)* (0.75 + (count(Actuals!C33:$C33)/18*0.15)),1), round($C$2 -ModifiedAvg!C33,1)))</f>
        <v>-7.5</v>
      </c>
      <c r="D33" s="24">
        <f> if( ModifiedAvg!D33 =0,0,  if( ModifiedAvg!D33 &gt;=$D$2, ROUND(($D$2-ModifiedAvg!D33)*0.75,1), round($D$2 -ModifiedAvg!D33,1)))</f>
        <v>-8.3</v>
      </c>
      <c r="E33" s="24">
        <f> if( ModifiedAvg!E33 =0,0,  if( ModifiedAvg!E33 &gt;=36, ROUND((36-ModifiedAvg!E33)*0.75,1), round(36 -ModifiedAvg!E33,1)))</f>
        <v>-6.8</v>
      </c>
      <c r="F33" s="24">
        <f> if( ModifiedAvg!F33 =0,0,  if( ModifiedAvg!F33 &gt;=36, ROUND((36-ModifiedAvg!F33)* (0.75 + (count(Actuals!C33:F33)/18*0.15)),1), round(36 -ModifiedAvg!F33,1)))</f>
        <v>-6.8</v>
      </c>
      <c r="G33" s="24">
        <f> if( ModifiedAvg!G33 =0,0,  if( ModifiedAvg!G33 &gt;=36, ROUND((36-ModifiedAvg!G33)* (0.75 + (count(Actuals!$C33:G33)/18*0.15)),1), round(36 -ModifiedAvg!G33,1)))</f>
        <v>-6.8</v>
      </c>
      <c r="H33" s="24">
        <f> if( ModifiedAvg!H33 =0,0,  if( ModifiedAvg!H33 &gt;=36, ROUND((36-ModifiedAvg!H33)* (0.83),1), round(36 -ModifiedAvg!H33,1)))</f>
        <v>-7.5</v>
      </c>
      <c r="I33" s="24">
        <f> if( ModifiedAvg!I33 =0,0,  if( ModifiedAvg!I33 &gt;=36, ROUND((36-ModifiedAvg!I33)* (0.83),1), round(36 -ModifiedAvg!I33,1)))</f>
        <v>-7.5</v>
      </c>
      <c r="J33" s="24">
        <f> if( ModifiedAvg!J33 =0,0,  if( ModifiedAvg!J33 &gt;=36, ROUND((36-ModifiedAvg!J33)* (0.83),1), round(36 -ModifiedAvg!J33,1)))</f>
        <v>-7.5</v>
      </c>
      <c r="K33" s="24">
        <f> if( ModifiedAvg!K33 =0,0,  if( ModifiedAvg!K33 &gt;=36, ROUND((36-ModifiedAvg!K33)* (0.83),1), round(36 -ModifiedAvg!K33,1)))</f>
        <v>-7.5</v>
      </c>
      <c r="L33" s="24">
        <f> if( ModifiedAvg!L33 =0,0,  if( ModifiedAvg!L33 &gt;=36, ROUND((36-ModifiedAvg!L33)* (0.83),1), round(36 -ModifiedAvg!L33,1)))</f>
        <v>-7.5</v>
      </c>
      <c r="M33" s="24">
        <f> if( ModifiedAvg!M33 =0,0,  if( ModifiedAvg!M33 &gt;=36, ROUND((36-ModifiedAvg!M33)* (0.83),1), round(36 -ModifiedAvg!M33,1)))</f>
        <v>-7.5</v>
      </c>
      <c r="N33" s="24">
        <f> if( ModifiedAvg!N33 =0,0,  if( ModifiedAvg!N33 &gt;=36, ROUND((36-ModifiedAvg!N33)* (0.83),1), round(36 -ModifiedAvg!N33,1)))</f>
        <v>-7.5</v>
      </c>
      <c r="O33" s="24">
        <f> if( ModifiedAvg!O33 =0,0,  if( ModifiedAvg!O33 &gt;=36, ROUND((36-ModifiedAvg!O33)* (0.83),1), round(36 -ModifiedAvg!O33,1)))</f>
        <v>-7.5</v>
      </c>
      <c r="P33" s="24">
        <f> if( ModifiedAvg!P33 =0,0,  if( ModifiedAvg!P33 &gt;=36, ROUND((36-ModifiedAvg!P33)* (0.83),1), round(36 -ModifiedAvg!P33,1)))</f>
        <v>-7.5</v>
      </c>
      <c r="Q33" s="24">
        <f> if( ModifiedAvg!Q33 =0,0,  if( ModifiedAvg!Q33 &gt;=36, ROUND((36-ModifiedAvg!Q33)* (0.83),1), round(36 -ModifiedAvg!Q33,1)))</f>
        <v>-7.5</v>
      </c>
      <c r="R33" s="24">
        <f> if( ModifiedAvg!R33 =0,0,  if( ModifiedAvg!R33 &gt;=36, ROUND((36-ModifiedAvg!R33)* (0.75 + (count(Actuals!$C33:R33)/18*0.15)),1), round((36 -ModifiedAvg!R33)/2,1)))</f>
        <v>0</v>
      </c>
    </row>
    <row r="34">
      <c r="A34" s="13" t="str">
        <f>Actuals!B34</f>
        <v>Ryan R</v>
      </c>
      <c r="B34" s="24">
        <f> if( ModifiedAvg!B34 =0,0,  if( ModifiedAvg!B34 &gt;=$B$2, ROUND(($B$2-ModifiedAvg!B34)* (0.75 + (count(Actuals!B34:$C34)/18*0.15)),1), round($B$2 -ModifiedAvg!B34,1)))</f>
        <v>-0.9</v>
      </c>
      <c r="C34" s="24">
        <f> if( ModifiedAvg!C34 =0,0,  if( ModifiedAvg!C34 &gt;=$C$2, ROUND(($C$2-ModifiedAvg!C34)* (0.75 + (count(Actuals!C34:$C34)/18*0.15)),1), round($C$2 -ModifiedAvg!C34,1)))</f>
        <v>-0.2</v>
      </c>
      <c r="D34" s="24">
        <f> if( ModifiedAvg!D34 =0,0,  if( ModifiedAvg!D34 &gt;=$D$2, ROUND(($D$2-ModifiedAvg!D34)*0.75,1), round($D$2 -ModifiedAvg!D34,1)))</f>
        <v>-0.9</v>
      </c>
      <c r="E34" s="24">
        <f> if( ModifiedAvg!E34 =0,0,  if( ModifiedAvg!E34 &gt;=36, ROUND((36-ModifiedAvg!E34)*0.75,1), round(36 -ModifiedAvg!E34,1)))</f>
        <v>0.8</v>
      </c>
      <c r="F34" s="24">
        <f> if( ModifiedAvg!F34 =0,0,  if( ModifiedAvg!F34 &gt;=36, ROUND((36-ModifiedAvg!F34)* (0.75 + (count(Actuals!C34:F34)/18*0.15)),1), round(36 -ModifiedAvg!F34,1)))</f>
        <v>0.8</v>
      </c>
      <c r="G34" s="24">
        <f> if( ModifiedAvg!G34 =0,0,  if( ModifiedAvg!G34 &gt;=36, ROUND((36-ModifiedAvg!G34)* (0.75 + (count(Actuals!$C34:G34)/18*0.15)),1), round(36 -ModifiedAvg!G34,1)))</f>
        <v>0.8</v>
      </c>
      <c r="H34" s="24">
        <f> if( ModifiedAvg!H34 =0,0,  if( ModifiedAvg!H34 &gt;=36, ROUND((36-ModifiedAvg!H34)* (0.83),1), round(36 -ModifiedAvg!H34,1)))</f>
        <v>0.8</v>
      </c>
      <c r="I34" s="24">
        <f> if( ModifiedAvg!I34 =0,0,  if( ModifiedAvg!I34 &gt;=36, ROUND((36-ModifiedAvg!I34)* (0.83),1), round(36 -ModifiedAvg!I34,1)))</f>
        <v>0.8</v>
      </c>
      <c r="J34" s="24">
        <f> if( ModifiedAvg!J34 =0,0,  if( ModifiedAvg!J34 &gt;=36, ROUND((36-ModifiedAvg!J34)* (0.83),1), round(36 -ModifiedAvg!J34,1)))</f>
        <v>0.8</v>
      </c>
      <c r="K34" s="24">
        <f> if( ModifiedAvg!K34 =0,0,  if( ModifiedAvg!K34 &gt;=36, ROUND((36-ModifiedAvg!K34)* (0.83),1), round(36 -ModifiedAvg!K34,1)))</f>
        <v>0.8</v>
      </c>
      <c r="L34" s="24">
        <f> if( ModifiedAvg!L34 =0,0,  if( ModifiedAvg!L34 &gt;=36, ROUND((36-ModifiedAvg!L34)* (0.83),1), round(36 -ModifiedAvg!L34,1)))</f>
        <v>0.8</v>
      </c>
      <c r="M34" s="24">
        <f> if( ModifiedAvg!M34 =0,0,  if( ModifiedAvg!M34 &gt;=36, ROUND((36-ModifiedAvg!M34)* (0.83),1), round(36 -ModifiedAvg!M34,1)))</f>
        <v>0.8</v>
      </c>
      <c r="N34" s="24">
        <f> if( ModifiedAvg!N34 =0,0,  if( ModifiedAvg!N34 &gt;=36, ROUND((36-ModifiedAvg!N34)* (0.83),1), round(36 -ModifiedAvg!N34,1)))</f>
        <v>0.8</v>
      </c>
      <c r="O34" s="24">
        <f> if( ModifiedAvg!O34 =0,0,  if( ModifiedAvg!O34 &gt;=36, ROUND((36-ModifiedAvg!O34)* (0.83),1), round(36 -ModifiedAvg!O34,1)))</f>
        <v>0.8</v>
      </c>
      <c r="P34" s="24">
        <f> if( ModifiedAvg!P34 =0,0,  if( ModifiedAvg!P34 &gt;=36, ROUND((36-ModifiedAvg!P34)* (0.83),1), round(36 -ModifiedAvg!P34,1)))</f>
        <v>0.8</v>
      </c>
      <c r="Q34" s="24">
        <f> if( ModifiedAvg!Q34 =0,0,  if( ModifiedAvg!Q34 &gt;=36, ROUND((36-ModifiedAvg!Q34)* (0.83),1), round(36 -ModifiedAvg!Q34,1)))</f>
        <v>0.8</v>
      </c>
      <c r="R34" s="24">
        <f> if( ModifiedAvg!R34 =0,0,  if( ModifiedAvg!R34 &gt;=36, ROUND((36-ModifiedAvg!R34)* (0.75 + (count(Actuals!$C34:R34)/18*0.15)),1), round((36 -ModifiedAvg!R34)/2,1)))</f>
        <v>0</v>
      </c>
    </row>
    <row r="35">
      <c r="A35" s="13" t="str">
        <f>Actuals!B35</f>
        <v>Scott M</v>
      </c>
      <c r="B35" s="24">
        <f> if( ModifiedAvg!B35 =0,0,  if( ModifiedAvg!B35 &gt;=$B$2, ROUND(($B$2-ModifiedAvg!B35)* (0.75 + (count(Actuals!B35:$C35)/18*0.15)),1), round($B$2 -ModifiedAvg!B35,1)))</f>
        <v>-4.3</v>
      </c>
      <c r="C35" s="24">
        <f> if( ModifiedAvg!C35 =0,0,  if( ModifiedAvg!C35 &gt;=$C$2, ROUND(($C$2-ModifiedAvg!C35)* (0.75 + (count(Actuals!C35:$C35)/18*0.15)),1), round($C$2 -ModifiedAvg!C35,1)))</f>
        <v>-3.5</v>
      </c>
      <c r="D35" s="24">
        <f> if( ModifiedAvg!D35 =0,0,  if( ModifiedAvg!D35 &gt;=$D$2, ROUND(($D$2-ModifiedAvg!D35)*0.75,1), round($D$2 -ModifiedAvg!D35,1)))</f>
        <v>-4.3</v>
      </c>
      <c r="E35" s="24">
        <f> if( ModifiedAvg!E35 =0,0,  if( ModifiedAvg!E35 &gt;=36, ROUND((36-ModifiedAvg!E35)*0.75,1), round(36 -ModifiedAvg!E35,1)))</f>
        <v>-2.8</v>
      </c>
      <c r="F35" s="24">
        <f> if( ModifiedAvg!F35 =0,0,  if( ModifiedAvg!F35 &gt;=36, ROUND((36-ModifiedAvg!F35)* (0.75 + (count(Actuals!C35:F35)/18*0.15)),1), round(36 -ModifiedAvg!F35,1)))</f>
        <v>-2.8</v>
      </c>
      <c r="G35" s="24">
        <f> if( ModifiedAvg!G35 =0,0,  if( ModifiedAvg!G35 &gt;=36, ROUND((36-ModifiedAvg!G35)* (0.75 + (count(Actuals!$C35:G35)/18*0.15)),1), round(36 -ModifiedAvg!G35,1)))</f>
        <v>-2.8</v>
      </c>
      <c r="H35" s="24">
        <f> if( ModifiedAvg!H35 =0,0,  if( ModifiedAvg!H35 &gt;=36, ROUND((36-ModifiedAvg!H35)* (0.83),1), round(36 -ModifiedAvg!H35,1)))</f>
        <v>-3.1</v>
      </c>
      <c r="I35" s="24">
        <f> if( ModifiedAvg!I35 =0,0,  if( ModifiedAvg!I35 &gt;=36, ROUND((36-ModifiedAvg!I35)* (0.83),1), round(36 -ModifiedAvg!I35,1)))</f>
        <v>-3.1</v>
      </c>
      <c r="J35" s="24">
        <f> if( ModifiedAvg!J35 =0,0,  if( ModifiedAvg!J35 &gt;=36, ROUND((36-ModifiedAvg!J35)* (0.83),1), round(36 -ModifiedAvg!J35,1)))</f>
        <v>-3.1</v>
      </c>
      <c r="K35" s="24">
        <f> if( ModifiedAvg!K35 =0,0,  if( ModifiedAvg!K35 &gt;=36, ROUND((36-ModifiedAvg!K35)* (0.83),1), round(36 -ModifiedAvg!K35,1)))</f>
        <v>-3.1</v>
      </c>
      <c r="L35" s="24">
        <f> if( ModifiedAvg!L35 =0,0,  if( ModifiedAvg!L35 &gt;=36, ROUND((36-ModifiedAvg!L35)* (0.83),1), round(36 -ModifiedAvg!L35,1)))</f>
        <v>-3.1</v>
      </c>
      <c r="M35" s="24">
        <f> if( ModifiedAvg!M35 =0,0,  if( ModifiedAvg!M35 &gt;=36, ROUND((36-ModifiedAvg!M35)* (0.83),1), round(36 -ModifiedAvg!M35,1)))</f>
        <v>-3.1</v>
      </c>
      <c r="N35" s="24">
        <f> if( ModifiedAvg!N35 =0,0,  if( ModifiedAvg!N35 &gt;=36, ROUND((36-ModifiedAvg!N35)* (0.83),1), round(36 -ModifiedAvg!N35,1)))</f>
        <v>-3.1</v>
      </c>
      <c r="O35" s="24">
        <f> if( ModifiedAvg!O35 =0,0,  if( ModifiedAvg!O35 &gt;=36, ROUND((36-ModifiedAvg!O35)* (0.83),1), round(36 -ModifiedAvg!O35,1)))</f>
        <v>-3.1</v>
      </c>
      <c r="P35" s="24">
        <f> if( ModifiedAvg!P35 =0,0,  if( ModifiedAvg!P35 &gt;=36, ROUND((36-ModifiedAvg!P35)* (0.83),1), round(36 -ModifiedAvg!P35,1)))</f>
        <v>-3.1</v>
      </c>
      <c r="Q35" s="24">
        <f> if( ModifiedAvg!Q35 =0,0,  if( ModifiedAvg!Q35 &gt;=36, ROUND((36-ModifiedAvg!Q35)* (0.83),1), round(36 -ModifiedAvg!Q35,1)))</f>
        <v>-3.1</v>
      </c>
      <c r="R35" s="24">
        <f> if( ModifiedAvg!R35 =0,0,  if( ModifiedAvg!R35 &gt;=36, ROUND((36-ModifiedAvg!R35)* (0.75 + (count(Actuals!$C35:R35)/18*0.15)),1), round((36 -ModifiedAvg!R35)/2,1)))</f>
        <v>0</v>
      </c>
    </row>
    <row r="36">
      <c r="A36" s="13" t="str">
        <f>Actuals!B36</f>
        <v>Seth A</v>
      </c>
      <c r="B36" s="24">
        <f> if( ModifiedAvg!B36 =0,0,  if( ModifiedAvg!B36 &gt;=$B$2, ROUND(($B$2-ModifiedAvg!B36)* (0.75 + (count(Actuals!B36:$C36)/18*0.15)),1), round($B$2 -ModifiedAvg!B36,1)))</f>
        <v>-4.5</v>
      </c>
      <c r="C36" s="24">
        <f> if( ModifiedAvg!C36 =0,0,  if( ModifiedAvg!C36 &gt;=$C$2, ROUND(($C$2-ModifiedAvg!C36)* (0.75 + (count(Actuals!C36:$C36)/18*0.15)),1), round($C$2 -ModifiedAvg!C36,1)))</f>
        <v>-3.8</v>
      </c>
      <c r="D36" s="24">
        <f> if( ModifiedAvg!D36 =0,0,  if( ModifiedAvg!D36 &gt;=$D$2, ROUND(($D$2-ModifiedAvg!D36)*0.75,1), round($D$2 -ModifiedAvg!D36,1)))</f>
        <v>-4.5</v>
      </c>
      <c r="E36" s="24">
        <f> if( ModifiedAvg!E36 =0,0,  if( ModifiedAvg!E36 &gt;=36, ROUND((36-ModifiedAvg!E36)*0.75,1), round(36 -ModifiedAvg!E36,1)))</f>
        <v>-3</v>
      </c>
      <c r="F36" s="24">
        <f> if( ModifiedAvg!F36 =0,0,  if( ModifiedAvg!F36 &gt;=36, ROUND((36-ModifiedAvg!F36)* (0.75 + (count(Actuals!C36:F36)/18*0.15)),1), round(36 -ModifiedAvg!F36,1)))</f>
        <v>-3</v>
      </c>
      <c r="G36" s="24">
        <f> if( ModifiedAvg!G36 =0,0,  if( ModifiedAvg!G36 &gt;=36, ROUND((36-ModifiedAvg!G36)* (0.75 + (count(Actuals!$C36:G36)/18*0.15)),1), round(36 -ModifiedAvg!G36,1)))</f>
        <v>-3</v>
      </c>
      <c r="H36" s="24">
        <f> if( ModifiedAvg!H36 =0,0,  if( ModifiedAvg!H36 &gt;=36, ROUND((36-ModifiedAvg!H36)* (0.83),1), round(36 -ModifiedAvg!H36,1)))</f>
        <v>-3.4</v>
      </c>
      <c r="I36" s="24">
        <f> if( ModifiedAvg!I36 =0,0,  if( ModifiedAvg!I36 &gt;=36, ROUND((36-ModifiedAvg!I36)* (0.83),1), round(36 -ModifiedAvg!I36,1)))</f>
        <v>-3.4</v>
      </c>
      <c r="J36" s="24">
        <f> if( ModifiedAvg!J36 =0,0,  if( ModifiedAvg!J36 &gt;=36, ROUND((36-ModifiedAvg!J36)* (0.83),1), round(36 -ModifiedAvg!J36,1)))</f>
        <v>-3.4</v>
      </c>
      <c r="K36" s="24">
        <f> if( ModifiedAvg!K36 =0,0,  if( ModifiedAvg!K36 &gt;=36, ROUND((36-ModifiedAvg!K36)* (0.83),1), round(36 -ModifiedAvg!K36,1)))</f>
        <v>-3.4</v>
      </c>
      <c r="L36" s="24">
        <f> if( ModifiedAvg!L36 =0,0,  if( ModifiedAvg!L36 &gt;=36, ROUND((36-ModifiedAvg!L36)* (0.83),1), round(36 -ModifiedAvg!L36,1)))</f>
        <v>-3.4</v>
      </c>
      <c r="M36" s="24">
        <f> if( ModifiedAvg!M36 =0,0,  if( ModifiedAvg!M36 &gt;=36, ROUND((36-ModifiedAvg!M36)* (0.83),1), round(36 -ModifiedAvg!M36,1)))</f>
        <v>-3.4</v>
      </c>
      <c r="N36" s="24">
        <f> if( ModifiedAvg!N36 =0,0,  if( ModifiedAvg!N36 &gt;=36, ROUND((36-ModifiedAvg!N36)* (0.83),1), round(36 -ModifiedAvg!N36,1)))</f>
        <v>-3.4</v>
      </c>
      <c r="O36" s="24">
        <f> if( ModifiedAvg!O36 =0,0,  if( ModifiedAvg!O36 &gt;=36, ROUND((36-ModifiedAvg!O36)* (0.83),1), round(36 -ModifiedAvg!O36,1)))</f>
        <v>-3.4</v>
      </c>
      <c r="P36" s="24">
        <f> if( ModifiedAvg!P36 =0,0,  if( ModifiedAvg!P36 &gt;=36, ROUND((36-ModifiedAvg!P36)* (0.83),1), round(36 -ModifiedAvg!P36,1)))</f>
        <v>-3.4</v>
      </c>
      <c r="Q36" s="24">
        <f> if( ModifiedAvg!Q36 =0,0,  if( ModifiedAvg!Q36 &gt;=36, ROUND((36-ModifiedAvg!Q36)* (0.83),1), round(36 -ModifiedAvg!Q36,1)))</f>
        <v>-3.4</v>
      </c>
      <c r="R36" s="24">
        <f> if( ModifiedAvg!R36 =0,0,  if( ModifiedAvg!R36 &gt;=36, ROUND((36-ModifiedAvg!R36)* (0.75 + (count(Actuals!$C36:R36)/18*0.15)),1), round((36 -ModifiedAvg!R36)/2,1)))</f>
        <v>0</v>
      </c>
    </row>
    <row r="37">
      <c r="A37" s="13" t="str">
        <f>Actuals!B37</f>
        <v>Simon R</v>
      </c>
      <c r="B37" s="24">
        <f> if( ModifiedAvg!B37 =0,0,  if( ModifiedAvg!B37 &gt;=$B$2, ROUND(($B$2-ModifiedAvg!B37)* (0.75 + (count(Actuals!B37:$C37)/18*0.15)),1), round($B$2 -ModifiedAvg!B37,1)))</f>
        <v>-0.9</v>
      </c>
      <c r="C37" s="24">
        <f> if( ModifiedAvg!C37 =0,0,  if( ModifiedAvg!C37 &gt;=$C$2, ROUND(($C$2-ModifiedAvg!C37)* (0.75 + (count(Actuals!C37:$C37)/18*0.15)),1), round($C$2 -ModifiedAvg!C37,1)))</f>
        <v>-0.3</v>
      </c>
      <c r="D37" s="24">
        <f> if( ModifiedAvg!D37 =0,0,  if( ModifiedAvg!D37 &gt;=$D$2, ROUND(($D$2-ModifiedAvg!D37)*0.75,1), round($D$2 -ModifiedAvg!D37,1)))</f>
        <v>-1</v>
      </c>
      <c r="E37" s="24">
        <f> if( ModifiedAvg!E37 =0,0,  if( ModifiedAvg!E37 &gt;=36, ROUND((36-ModifiedAvg!E37)*0.75,1), round(36 -ModifiedAvg!E37,1)))</f>
        <v>0.7</v>
      </c>
      <c r="F37" s="24">
        <f> if( ModifiedAvg!F37 =0,0,  if( ModifiedAvg!F37 &gt;=36, ROUND((36-ModifiedAvg!F37)* (0.75 + (count(Actuals!C37:F37)/18*0.15)),1), round(36 -ModifiedAvg!F37,1)))</f>
        <v>0.7</v>
      </c>
      <c r="G37" s="24">
        <f> if( ModifiedAvg!G37 =0,0,  if( ModifiedAvg!G37 &gt;=36, ROUND((36-ModifiedAvg!G37)* (0.75 + (count(Actuals!$C37:G37)/18*0.15)),1), round(36 -ModifiedAvg!G37,1)))</f>
        <v>0.7</v>
      </c>
      <c r="H37" s="24">
        <f> if( ModifiedAvg!H37 =0,0,  if( ModifiedAvg!H37 &gt;=36, ROUND((36-ModifiedAvg!H37)* (0.83),1), round(36 -ModifiedAvg!H37,1)))</f>
        <v>0.7</v>
      </c>
      <c r="I37" s="24">
        <f> if( ModifiedAvg!I37 =0,0,  if( ModifiedAvg!I37 &gt;=36, ROUND((36-ModifiedAvg!I37)* (0.83),1), round(36 -ModifiedAvg!I37,1)))</f>
        <v>0.7</v>
      </c>
      <c r="J37" s="24">
        <f> if( ModifiedAvg!J37 =0,0,  if( ModifiedAvg!J37 &gt;=36, ROUND((36-ModifiedAvg!J37)* (0.83),1), round(36 -ModifiedAvg!J37,1)))</f>
        <v>0.7</v>
      </c>
      <c r="K37" s="24">
        <f> if( ModifiedAvg!K37 =0,0,  if( ModifiedAvg!K37 &gt;=36, ROUND((36-ModifiedAvg!K37)* (0.83),1), round(36 -ModifiedAvg!K37,1)))</f>
        <v>0.7</v>
      </c>
      <c r="L37" s="24">
        <f> if( ModifiedAvg!L37 =0,0,  if( ModifiedAvg!L37 &gt;=36, ROUND((36-ModifiedAvg!L37)* (0.83),1), round(36 -ModifiedAvg!L37,1)))</f>
        <v>0.7</v>
      </c>
      <c r="M37" s="24">
        <f> if( ModifiedAvg!M37 =0,0,  if( ModifiedAvg!M37 &gt;=36, ROUND((36-ModifiedAvg!M37)* (0.83),1), round(36 -ModifiedAvg!M37,1)))</f>
        <v>0.7</v>
      </c>
      <c r="N37" s="24">
        <f> if( ModifiedAvg!N37 =0,0,  if( ModifiedAvg!N37 &gt;=36, ROUND((36-ModifiedAvg!N37)* (0.83),1), round(36 -ModifiedAvg!N37,1)))</f>
        <v>0.7</v>
      </c>
      <c r="O37" s="24">
        <f> if( ModifiedAvg!O37 =0,0,  if( ModifiedAvg!O37 &gt;=36, ROUND((36-ModifiedAvg!O37)* (0.83),1), round(36 -ModifiedAvg!O37,1)))</f>
        <v>0.7</v>
      </c>
      <c r="P37" s="24">
        <f> if( ModifiedAvg!P37 =0,0,  if( ModifiedAvg!P37 &gt;=36, ROUND((36-ModifiedAvg!P37)* (0.83),1), round(36 -ModifiedAvg!P37,1)))</f>
        <v>0.7</v>
      </c>
      <c r="Q37" s="24">
        <f> if( ModifiedAvg!Q37 =0,0,  if( ModifiedAvg!Q37 &gt;=36, ROUND((36-ModifiedAvg!Q37)* (0.83),1), round(36 -ModifiedAvg!Q37,1)))</f>
        <v>0.7</v>
      </c>
      <c r="R37" s="24">
        <f> if( ModifiedAvg!R37 =0,0,  if( ModifiedAvg!R37 &gt;=36, ROUND((36-ModifiedAvg!R37)* (0.75 + (count(Actuals!$C37:R37)/18*0.15)),1), round((36 -ModifiedAvg!R37)/2,1)))</f>
        <v>0</v>
      </c>
    </row>
    <row r="38">
      <c r="A38" s="13" t="str">
        <f>Actuals!B38</f>
        <v>Steve S</v>
      </c>
      <c r="B38" s="24">
        <f> if( ModifiedAvg!B38 =0,0,  if( ModifiedAvg!B38 &gt;=$B$2, ROUND(($B$2-ModifiedAvg!B38)* (0.75 + (count(Actuals!B38:$C38)/18*0.15)),1), round($B$2 -ModifiedAvg!B38,1)))</f>
        <v>-7.7</v>
      </c>
      <c r="C38" s="24">
        <f> if( ModifiedAvg!C38 =0,0,  if( ModifiedAvg!C38 &gt;=$C$2, ROUND(($C$2-ModifiedAvg!C38)* (0.75 + (count(Actuals!C38:$C38)/18*0.15)),1), round($C$2 -ModifiedAvg!C38,1)))</f>
        <v>-6.9</v>
      </c>
      <c r="D38" s="24">
        <f> if( ModifiedAvg!D38 =0,0,  if( ModifiedAvg!D38 &gt;=$D$2, ROUND(($D$2-ModifiedAvg!D38)*0.75,1), round($D$2 -ModifiedAvg!D38,1)))</f>
        <v>-7.7</v>
      </c>
      <c r="E38" s="24">
        <f> if( ModifiedAvg!E38 =0,0,  if( ModifiedAvg!E38 &gt;=36, ROUND((36-ModifiedAvg!E38)*0.75,1), round(36 -ModifiedAvg!E38,1)))</f>
        <v>-6.2</v>
      </c>
      <c r="F38" s="24">
        <f> if( ModifiedAvg!F38 =0,0,  if( ModifiedAvg!F38 &gt;=36, ROUND((36-ModifiedAvg!F38)* (0.75 + (count(Actuals!C38:F38)/18*0.15)),1), round(36 -ModifiedAvg!F38,1)))</f>
        <v>-6.2</v>
      </c>
      <c r="G38" s="24">
        <f> if( ModifiedAvg!G38 =0,0,  if( ModifiedAvg!G38 &gt;=36, ROUND((36-ModifiedAvg!G38)* (0.75 + (count(Actuals!$C38:G38)/18*0.15)),1), round(36 -ModifiedAvg!G38,1)))</f>
        <v>-6.2</v>
      </c>
      <c r="H38" s="24">
        <f> if( ModifiedAvg!H38 =0,0,  if( ModifiedAvg!H38 &gt;=36, ROUND((36-ModifiedAvg!H38)* (0.83),1), round(36 -ModifiedAvg!H38,1)))</f>
        <v>-6.8</v>
      </c>
      <c r="I38" s="24">
        <f> if( ModifiedAvg!I38 =0,0,  if( ModifiedAvg!I38 &gt;=36, ROUND((36-ModifiedAvg!I38)* (0.83),1), round(36 -ModifiedAvg!I38,1)))</f>
        <v>-6.8</v>
      </c>
      <c r="J38" s="24">
        <f> if( ModifiedAvg!J38 =0,0,  if( ModifiedAvg!J38 &gt;=36, ROUND((36-ModifiedAvg!J38)* (0.83),1), round(36 -ModifiedAvg!J38,1)))</f>
        <v>-6.8</v>
      </c>
      <c r="K38" s="24">
        <f> if( ModifiedAvg!K38 =0,0,  if( ModifiedAvg!K38 &gt;=36, ROUND((36-ModifiedAvg!K38)* (0.83),1), round(36 -ModifiedAvg!K38,1)))</f>
        <v>-6.8</v>
      </c>
      <c r="L38" s="24">
        <f> if( ModifiedAvg!L38 =0,0,  if( ModifiedAvg!L38 &gt;=36, ROUND((36-ModifiedAvg!L38)* (0.83),1), round(36 -ModifiedAvg!L38,1)))</f>
        <v>-6.8</v>
      </c>
      <c r="M38" s="24">
        <f> if( ModifiedAvg!M38 =0,0,  if( ModifiedAvg!M38 &gt;=36, ROUND((36-ModifiedAvg!M38)* (0.83),1), round(36 -ModifiedAvg!M38,1)))</f>
        <v>-6.8</v>
      </c>
      <c r="N38" s="24">
        <f> if( ModifiedAvg!N38 =0,0,  if( ModifiedAvg!N38 &gt;=36, ROUND((36-ModifiedAvg!N38)* (0.83),1), round(36 -ModifiedAvg!N38,1)))</f>
        <v>-6.8</v>
      </c>
      <c r="O38" s="24">
        <f> if( ModifiedAvg!O38 =0,0,  if( ModifiedAvg!O38 &gt;=36, ROUND((36-ModifiedAvg!O38)* (0.83),1), round(36 -ModifiedAvg!O38,1)))</f>
        <v>-6.8</v>
      </c>
      <c r="P38" s="24">
        <f> if( ModifiedAvg!P38 =0,0,  if( ModifiedAvg!P38 &gt;=36, ROUND((36-ModifiedAvg!P38)* (0.83),1), round(36 -ModifiedAvg!P38,1)))</f>
        <v>-6.8</v>
      </c>
      <c r="Q38" s="24">
        <f> if( ModifiedAvg!Q38 =0,0,  if( ModifiedAvg!Q38 &gt;=36, ROUND((36-ModifiedAvg!Q38)* (0.83),1), round(36 -ModifiedAvg!Q38,1)))</f>
        <v>-6.8</v>
      </c>
      <c r="R38" s="24">
        <f> if( ModifiedAvg!R38 =0,0,  if( ModifiedAvg!R38 &gt;=36, ROUND((36-ModifiedAvg!R38)* (0.75 + (count(Actuals!$C38:R38)/18*0.15)),1), round((36 -ModifiedAvg!R38)/2,1)))</f>
        <v>0</v>
      </c>
    </row>
    <row r="39">
      <c r="A39" s="13" t="str">
        <f>Actuals!B39</f>
        <v>Tanner Brown</v>
      </c>
      <c r="B39" s="24">
        <f> if( ModifiedAvg!B39 =0,0,  if( ModifiedAvg!B39 &gt;=$B$2, ROUND(($B$2-ModifiedAvg!B39)* (0.75 + (count(Actuals!B39:$C39)/18*0.15)),1), round($B$2 -ModifiedAvg!B39,1)))</f>
        <v>-17.3</v>
      </c>
      <c r="C39" s="24">
        <f> if( ModifiedAvg!C39 =0,0,  if( ModifiedAvg!C39 &gt;=$C$2, ROUND(($C$2-ModifiedAvg!C39)* (0.75 + (count(Actuals!C39:$C39)/18*0.15)),1), round($C$2 -ModifiedAvg!C39,1)))</f>
        <v>-16.5</v>
      </c>
      <c r="D39" s="24">
        <f> if( ModifiedAvg!D39 =0,0,  if( ModifiedAvg!D39 &gt;=$D$2, ROUND(($D$2-ModifiedAvg!D39)*0.75,1), round($D$2 -ModifiedAvg!D39,1)))</f>
        <v>-15.4</v>
      </c>
      <c r="E39" s="24">
        <f> if( ModifiedAvg!E39 =0,0,  if( ModifiedAvg!E39 &gt;=36, ROUND((36-ModifiedAvg!E39)*0.75,1), round(36 -ModifiedAvg!E39,1)))</f>
        <v>-13.9</v>
      </c>
      <c r="F39" s="24">
        <f> if( ModifiedAvg!F39 =0,0,  if( ModifiedAvg!F39 &gt;=36, ROUND((36-ModifiedAvg!F39)* (0.75 + (count(Actuals!C39:F39)/18*0.15)),1), round(36 -ModifiedAvg!F39,1)))</f>
        <v>-14</v>
      </c>
      <c r="G39" s="24">
        <f> if( ModifiedAvg!G39 =0,0,  if( ModifiedAvg!G39 &gt;=36, ROUND((36-ModifiedAvg!G39)* (0.75 + (count(Actuals!$C39:G39)/18*0.15)),1), round(36 -ModifiedAvg!G39,1)))</f>
        <v>-14</v>
      </c>
      <c r="H39" s="24">
        <f> if( ModifiedAvg!H39 =0,0,  if( ModifiedAvg!H39 &gt;=36, ROUND((36-ModifiedAvg!H39)* (0.83),1), round(36 -ModifiedAvg!H39,1)))</f>
        <v>-15.4</v>
      </c>
      <c r="I39" s="24">
        <f> if( ModifiedAvg!I39 =0,0,  if( ModifiedAvg!I39 &gt;=36, ROUND((36-ModifiedAvg!I39)* (0.83),1), round(36 -ModifiedAvg!I39,1)))</f>
        <v>-15.4</v>
      </c>
      <c r="J39" s="24">
        <f> if( ModifiedAvg!J39 =0,0,  if( ModifiedAvg!J39 &gt;=36, ROUND((36-ModifiedAvg!J39)* (0.83),1), round(36 -ModifiedAvg!J39,1)))</f>
        <v>-15.4</v>
      </c>
      <c r="K39" s="24">
        <f> if( ModifiedAvg!K39 =0,0,  if( ModifiedAvg!K39 &gt;=36, ROUND((36-ModifiedAvg!K39)* (0.83),1), round(36 -ModifiedAvg!K39,1)))</f>
        <v>-15.4</v>
      </c>
      <c r="L39" s="24">
        <f> if( ModifiedAvg!L39 =0,0,  if( ModifiedAvg!L39 &gt;=36, ROUND((36-ModifiedAvg!L39)* (0.83),1), round(36 -ModifiedAvg!L39,1)))</f>
        <v>-15.4</v>
      </c>
      <c r="M39" s="24">
        <f> if( ModifiedAvg!M39 =0,0,  if( ModifiedAvg!M39 &gt;=36, ROUND((36-ModifiedAvg!M39)* (0.83),1), round(36 -ModifiedAvg!M39,1)))</f>
        <v>-15.4</v>
      </c>
      <c r="N39" s="24">
        <f> if( ModifiedAvg!N39 =0,0,  if( ModifiedAvg!N39 &gt;=36, ROUND((36-ModifiedAvg!N39)* (0.83),1), round(36 -ModifiedAvg!N39,1)))</f>
        <v>-15.4</v>
      </c>
      <c r="O39" s="24">
        <f> if( ModifiedAvg!O39 =0,0,  if( ModifiedAvg!O39 &gt;=36, ROUND((36-ModifiedAvg!O39)* (0.83),1), round(36 -ModifiedAvg!O39,1)))</f>
        <v>-15.4</v>
      </c>
      <c r="P39" s="24">
        <f> if( ModifiedAvg!P39 =0,0,  if( ModifiedAvg!P39 &gt;=36, ROUND((36-ModifiedAvg!P39)* (0.83),1), round(36 -ModifiedAvg!P39,1)))</f>
        <v>-15.4</v>
      </c>
      <c r="Q39" s="24">
        <f> if( ModifiedAvg!Q39 =0,0,  if( ModifiedAvg!Q39 &gt;=36, ROUND((36-ModifiedAvg!Q39)* (0.83),1), round(36 -ModifiedAvg!Q39,1)))</f>
        <v>-15.4</v>
      </c>
      <c r="R39" s="24">
        <f> if( ModifiedAvg!R39 =0,0,  if( ModifiedAvg!R39 &gt;=36, ROUND((36-ModifiedAvg!R39)* (0.75 + (count(Actuals!$C39:R39)/18*0.15)),1), round((36 -ModifiedAvg!R39)/2,1)))</f>
        <v>0</v>
      </c>
    </row>
    <row r="40">
      <c r="A40" s="13" t="str">
        <f>Actuals!B40</f>
        <v>Tanner Buechele</v>
      </c>
      <c r="B40" s="24">
        <f> if( ModifiedAvg!B40 =0,0,  if( ModifiedAvg!B40 &gt;=$B$2, ROUND(($B$2-ModifiedAvg!B40)* (0.75 + (count(Actuals!B40:$C40)/18*0.15)),1), round($B$2 -ModifiedAvg!B40,1)))</f>
        <v>-6.9</v>
      </c>
      <c r="C40" s="24">
        <f> if( ModifiedAvg!C40 =0,0,  if( ModifiedAvg!C40 &gt;=$C$2, ROUND(($C$2-ModifiedAvg!C40)* (0.75 + (count(Actuals!C40:$C40)/18*0.15)),1), round($C$2 -ModifiedAvg!C40,1)))</f>
        <v>-6.2</v>
      </c>
      <c r="D40" s="24">
        <f> if( ModifiedAvg!D40 =0,0,  if( ModifiedAvg!D40 &gt;=$D$2, ROUND(($D$2-ModifiedAvg!D40)*0.75,1), round($D$2 -ModifiedAvg!D40,1)))</f>
        <v>-6.9</v>
      </c>
      <c r="E40" s="24">
        <f> if( ModifiedAvg!E40 =0,0,  if( ModifiedAvg!E40 &gt;=36, ROUND((36-ModifiedAvg!E40)*0.75,1), round(36 -ModifiedAvg!E40,1)))</f>
        <v>-5.4</v>
      </c>
      <c r="F40" s="24">
        <f> if( ModifiedAvg!F40 =0,0,  if( ModifiedAvg!F40 &gt;=36, ROUND((36-ModifiedAvg!F40)* (0.75 + (count(Actuals!C40:F40)/18*0.15)),1), round(36 -ModifiedAvg!F40,1)))</f>
        <v>-5.4</v>
      </c>
      <c r="G40" s="24">
        <f> if( ModifiedAvg!G40 =0,0,  if( ModifiedAvg!G40 &gt;=36, ROUND((36-ModifiedAvg!G40)* (0.75 + (count(Actuals!$C40:G40)/18*0.15)),1), round(36 -ModifiedAvg!G40,1)))</f>
        <v>-5.4</v>
      </c>
      <c r="H40" s="24">
        <f> if( ModifiedAvg!H40 =0,0,  if( ModifiedAvg!H40 &gt;=36, ROUND((36-ModifiedAvg!H40)* (0.83),1), round(36 -ModifiedAvg!H40,1)))</f>
        <v>-6</v>
      </c>
      <c r="I40" s="24">
        <f> if( ModifiedAvg!I40 =0,0,  if( ModifiedAvg!I40 &gt;=36, ROUND((36-ModifiedAvg!I40)* (0.83),1), round(36 -ModifiedAvg!I40,1)))</f>
        <v>-6</v>
      </c>
      <c r="J40" s="24">
        <f> if( ModifiedAvg!J40 =0,0,  if( ModifiedAvg!J40 &gt;=36, ROUND((36-ModifiedAvg!J40)* (0.83),1), round(36 -ModifiedAvg!J40,1)))</f>
        <v>-6</v>
      </c>
      <c r="K40" s="24">
        <f> if( ModifiedAvg!K40 =0,0,  if( ModifiedAvg!K40 &gt;=36, ROUND((36-ModifiedAvg!K40)* (0.83),1), round(36 -ModifiedAvg!K40,1)))</f>
        <v>-6</v>
      </c>
      <c r="L40" s="24">
        <f> if( ModifiedAvg!L40 =0,0,  if( ModifiedAvg!L40 &gt;=36, ROUND((36-ModifiedAvg!L40)* (0.83),1), round(36 -ModifiedAvg!L40,1)))</f>
        <v>-6</v>
      </c>
      <c r="M40" s="24">
        <f> if( ModifiedAvg!M40 =0,0,  if( ModifiedAvg!M40 &gt;=36, ROUND((36-ModifiedAvg!M40)* (0.83),1), round(36 -ModifiedAvg!M40,1)))</f>
        <v>-6</v>
      </c>
      <c r="N40" s="24">
        <f> if( ModifiedAvg!N40 =0,0,  if( ModifiedAvg!N40 &gt;=36, ROUND((36-ModifiedAvg!N40)* (0.83),1), round(36 -ModifiedAvg!N40,1)))</f>
        <v>-6</v>
      </c>
      <c r="O40" s="24">
        <f> if( ModifiedAvg!O40 =0,0,  if( ModifiedAvg!O40 &gt;=36, ROUND((36-ModifiedAvg!O40)* (0.83),1), round(36 -ModifiedAvg!O40,1)))</f>
        <v>-6</v>
      </c>
      <c r="P40" s="24">
        <f> if( ModifiedAvg!P40 =0,0,  if( ModifiedAvg!P40 &gt;=36, ROUND((36-ModifiedAvg!P40)* (0.83),1), round(36 -ModifiedAvg!P40,1)))</f>
        <v>-6</v>
      </c>
      <c r="Q40" s="24">
        <f> if( ModifiedAvg!Q40 =0,0,  if( ModifiedAvg!Q40 &gt;=36, ROUND((36-ModifiedAvg!Q40)* (0.83),1), round(36 -ModifiedAvg!Q40,1)))</f>
        <v>-6</v>
      </c>
      <c r="R40" s="24">
        <f> if( ModifiedAvg!R40 =0,0,  if( ModifiedAvg!R40 &gt;=36, ROUND((36-ModifiedAvg!R40)* (0.75 + (count(Actuals!$C40:R40)/18*0.15)),1), round((36 -ModifiedAvg!R40)/2,1)))</f>
        <v>0</v>
      </c>
    </row>
    <row r="41">
      <c r="A41" s="13" t="str">
        <f>Actuals!B41</f>
        <v>Thomas Y</v>
      </c>
      <c r="B41" s="24">
        <f> if( ModifiedAvg!B41 =0,0,  if( ModifiedAvg!B41 &gt;=$B$2, ROUND(($B$2-ModifiedAvg!B41)* (0.75 + (count(Actuals!B41:$C41)/18*0.15)),1), round($B$2 -ModifiedAvg!B41,1)))</f>
        <v>24.8</v>
      </c>
      <c r="C41" s="24">
        <f> if( ModifiedAvg!C41 =0,0,  if( ModifiedAvg!C41 &gt;=$C$2, ROUND(($C$2-ModifiedAvg!C41)* (0.75 + (count(Actuals!C41:$C41)/18*0.15)),1), round($C$2 -ModifiedAvg!C41,1)))</f>
        <v>25.8</v>
      </c>
      <c r="D41" s="24">
        <f> if( ModifiedAvg!D41 =0,0,  if( ModifiedAvg!D41 &gt;=$D$2, ROUND(($D$2-ModifiedAvg!D41)*0.75,1), round($D$2 -ModifiedAvg!D41,1)))</f>
        <v>24.8</v>
      </c>
      <c r="E41" s="24">
        <f> if( ModifiedAvg!E41 =0,0,  if( ModifiedAvg!E41 &gt;=36, ROUND((36-ModifiedAvg!E41)*0.75,1), round(36 -ModifiedAvg!E41,1)))</f>
        <v>26.8</v>
      </c>
      <c r="F41" s="24">
        <f> if( ModifiedAvg!F41 =0,0,  if( ModifiedAvg!F41 &gt;=36, ROUND((36-ModifiedAvg!F41)* (0.75 + (count(Actuals!C41:F41)/18*0.15)),1), round(36 -ModifiedAvg!F41,1)))</f>
        <v>26.8</v>
      </c>
      <c r="G41" s="24">
        <f> if( ModifiedAvg!G41 =0,0,  if( ModifiedAvg!G41 &gt;=36, ROUND((36-ModifiedAvg!G41)* (0.75 + (count(Actuals!$C41:G41)/18*0.15)),1), round(36 -ModifiedAvg!G41,1)))</f>
        <v>26.8</v>
      </c>
      <c r="H41" s="24">
        <f> if( ModifiedAvg!H41 =0,0,  if( ModifiedAvg!H41 &gt;=36, ROUND((36-ModifiedAvg!H41)* (0.83),1), round(36 -ModifiedAvg!H41,1)))</f>
        <v>26.8</v>
      </c>
      <c r="I41" s="24">
        <f> if( ModifiedAvg!I41 =0,0,  if( ModifiedAvg!I41 &gt;=36, ROUND((36-ModifiedAvg!I41)* (0.83),1), round(36 -ModifiedAvg!I41,1)))</f>
        <v>26.8</v>
      </c>
      <c r="J41" s="24">
        <f> if( ModifiedAvg!J41 =0,0,  if( ModifiedAvg!J41 &gt;=36, ROUND((36-ModifiedAvg!J41)* (0.83),1), round(36 -ModifiedAvg!J41,1)))</f>
        <v>26.8</v>
      </c>
      <c r="K41" s="24">
        <f> if( ModifiedAvg!K41 =0,0,  if( ModifiedAvg!K41 &gt;=36, ROUND((36-ModifiedAvg!K41)* (0.83),1), round(36 -ModifiedAvg!K41,1)))</f>
        <v>26.8</v>
      </c>
      <c r="L41" s="24">
        <f> if( ModifiedAvg!L41 =0,0,  if( ModifiedAvg!L41 &gt;=36, ROUND((36-ModifiedAvg!L41)* (0.83),1), round(36 -ModifiedAvg!L41,1)))</f>
        <v>26.8</v>
      </c>
      <c r="M41" s="24">
        <f> if( ModifiedAvg!M41 =0,0,  if( ModifiedAvg!M41 &gt;=36, ROUND((36-ModifiedAvg!M41)* (0.83),1), round(36 -ModifiedAvg!M41,1)))</f>
        <v>26.8</v>
      </c>
      <c r="N41" s="24">
        <f> if( ModifiedAvg!N41 =0,0,  if( ModifiedAvg!N41 &gt;=36, ROUND((36-ModifiedAvg!N41)* (0.83),1), round(36 -ModifiedAvg!N41,1)))</f>
        <v>26.8</v>
      </c>
      <c r="O41" s="24">
        <f> if( ModifiedAvg!O41 =0,0,  if( ModifiedAvg!O41 &gt;=36, ROUND((36-ModifiedAvg!O41)* (0.83),1), round(36 -ModifiedAvg!O41,1)))</f>
        <v>26.8</v>
      </c>
      <c r="P41" s="24">
        <f> if( ModifiedAvg!P41 =0,0,  if( ModifiedAvg!P41 &gt;=36, ROUND((36-ModifiedAvg!P41)* (0.83),1), round(36 -ModifiedAvg!P41,1)))</f>
        <v>26.8</v>
      </c>
      <c r="Q41" s="24">
        <f> if( ModifiedAvg!Q41 =0,0,  if( ModifiedAvg!Q41 &gt;=36, ROUND((36-ModifiedAvg!Q41)* (0.83),1), round(36 -ModifiedAvg!Q41,1)))</f>
        <v>26.8</v>
      </c>
      <c r="R41" s="24">
        <f> if( ModifiedAvg!R41 =0,0,  if( ModifiedAvg!R41 &gt;=36, ROUND((36-ModifiedAvg!R41)* (0.75 + (count(Actuals!$C41:R41)/18*0.15)),1), round((36 -ModifiedAvg!R41)/2,1)))</f>
        <v>0</v>
      </c>
    </row>
    <row r="42">
      <c r="A42" s="13" t="str">
        <f>Actuals!B42</f>
        <v>Tom B</v>
      </c>
      <c r="B42" s="24">
        <f> if( ModifiedAvg!B42 =0,0,  if( ModifiedAvg!B42 &gt;=$B$2, ROUND(($B$2-ModifiedAvg!B42)* (0.75 + (count(Actuals!B42:$C42)/18*0.15)),1), round($B$2 -ModifiedAvg!B42,1)))</f>
        <v>-4.9</v>
      </c>
      <c r="C42" s="24">
        <f> if( ModifiedAvg!C42 =0,0,  if( ModifiedAvg!C42 &gt;=$C$2, ROUND(($C$2-ModifiedAvg!C42)* (0.75 + (count(Actuals!C42:$C42)/18*0.15)),1), round($C$2 -ModifiedAvg!C42,1)))</f>
        <v>-4.1</v>
      </c>
      <c r="D42" s="24">
        <f> if( ModifiedAvg!D42 =0,0,  if( ModifiedAvg!D42 &gt;=$D$2, ROUND(($D$2-ModifiedAvg!D42)*0.75,1), round($D$2 -ModifiedAvg!D42,1)))</f>
        <v>-4.9</v>
      </c>
      <c r="E42" s="24">
        <f> if( ModifiedAvg!E42 =0,0,  if( ModifiedAvg!E42 &gt;=36, ROUND((36-ModifiedAvg!E42)*0.75,1), round(36 -ModifiedAvg!E42,1)))</f>
        <v>-3.4</v>
      </c>
      <c r="F42" s="24">
        <f> if( ModifiedAvg!F42 =0,0,  if( ModifiedAvg!F42 &gt;=36, ROUND((36-ModifiedAvg!F42)* (0.75 + (count(Actuals!C42:F42)/18*0.15)),1), round(36 -ModifiedAvg!F42,1)))</f>
        <v>-3.4</v>
      </c>
      <c r="G42" s="24">
        <f> if( ModifiedAvg!G42 =0,0,  if( ModifiedAvg!G42 &gt;=36, ROUND((36-ModifiedAvg!G42)* (0.75 + (count(Actuals!$C42:G42)/18*0.15)),1), round(36 -ModifiedAvg!G42,1)))</f>
        <v>-3.4</v>
      </c>
      <c r="H42" s="24">
        <f> if( ModifiedAvg!H42 =0,0,  if( ModifiedAvg!H42 &gt;=36, ROUND((36-ModifiedAvg!H42)* (0.83),1), round(36 -ModifiedAvg!H42,1)))</f>
        <v>-3.7</v>
      </c>
      <c r="I42" s="24">
        <f> if( ModifiedAvg!I42 =0,0,  if( ModifiedAvg!I42 &gt;=36, ROUND((36-ModifiedAvg!I42)* (0.83),1), round(36 -ModifiedAvg!I42,1)))</f>
        <v>-3.7</v>
      </c>
      <c r="J42" s="24">
        <f> if( ModifiedAvg!J42 =0,0,  if( ModifiedAvg!J42 &gt;=36, ROUND((36-ModifiedAvg!J42)* (0.83),1), round(36 -ModifiedAvg!J42,1)))</f>
        <v>-3.7</v>
      </c>
      <c r="K42" s="24">
        <f> if( ModifiedAvg!K42 =0,0,  if( ModifiedAvg!K42 &gt;=36, ROUND((36-ModifiedAvg!K42)* (0.83),1), round(36 -ModifiedAvg!K42,1)))</f>
        <v>-3.7</v>
      </c>
      <c r="L42" s="24">
        <f> if( ModifiedAvg!L42 =0,0,  if( ModifiedAvg!L42 &gt;=36, ROUND((36-ModifiedAvg!L42)* (0.83),1), round(36 -ModifiedAvg!L42,1)))</f>
        <v>-3.7</v>
      </c>
      <c r="M42" s="24">
        <f> if( ModifiedAvg!M42 =0,0,  if( ModifiedAvg!M42 &gt;=36, ROUND((36-ModifiedAvg!M42)* (0.83),1), round(36 -ModifiedAvg!M42,1)))</f>
        <v>-3.7</v>
      </c>
      <c r="N42" s="24">
        <f> if( ModifiedAvg!N42 =0,0,  if( ModifiedAvg!N42 &gt;=36, ROUND((36-ModifiedAvg!N42)* (0.83),1), round(36 -ModifiedAvg!N42,1)))</f>
        <v>-3.7</v>
      </c>
      <c r="O42" s="24">
        <f> if( ModifiedAvg!O42 =0,0,  if( ModifiedAvg!O42 &gt;=36, ROUND((36-ModifiedAvg!O42)* (0.83),1), round(36 -ModifiedAvg!O42,1)))</f>
        <v>-3.7</v>
      </c>
      <c r="P42" s="24">
        <f> if( ModifiedAvg!P42 =0,0,  if( ModifiedAvg!P42 &gt;=36, ROUND((36-ModifiedAvg!P42)* (0.83),1), round(36 -ModifiedAvg!P42,1)))</f>
        <v>-3.7</v>
      </c>
      <c r="Q42" s="24">
        <f> if( ModifiedAvg!Q42 =0,0,  if( ModifiedAvg!Q42 &gt;=36, ROUND((36-ModifiedAvg!Q42)* (0.83),1), round(36 -ModifiedAvg!Q42,1)))</f>
        <v>-3.7</v>
      </c>
      <c r="R42" s="24">
        <f> if( ModifiedAvg!R42 =0,0,  if( ModifiedAvg!R42 &gt;=36, ROUND((36-ModifiedAvg!R42)* (0.75 + (count(Actuals!$C42:R42)/18*0.15)),1), round((36 -ModifiedAvg!R42)/2,1)))</f>
        <v>0</v>
      </c>
    </row>
    <row r="43">
      <c r="A43" s="13" t="str">
        <f>Actuals!B43</f>
        <v>Tommy</v>
      </c>
      <c r="B43" s="24">
        <f> if( ModifiedAvg!B43 =0,0,  if( ModifiedAvg!B43 &gt;=$B$2, ROUND(($B$2-ModifiedAvg!B43)* (0.75 + (count(Actuals!B43:$C43)/18*0.15)),1), round($B$2 -ModifiedAvg!B43,1)))</f>
        <v>-7.4</v>
      </c>
      <c r="C43" s="24">
        <f> if( ModifiedAvg!C43 =0,0,  if( ModifiedAvg!C43 &gt;=$C$2, ROUND(($C$2-ModifiedAvg!C43)* (0.75 + (count(Actuals!C43:$C43)/18*0.15)),1), round($C$2 -ModifiedAvg!C43,1)))</f>
        <v>-6.7</v>
      </c>
      <c r="D43" s="24">
        <f> if( ModifiedAvg!D43 =0,0,  if( ModifiedAvg!D43 &gt;=$D$2, ROUND(($D$2-ModifiedAvg!D43)*0.75,1), round($D$2 -ModifiedAvg!D43,1)))</f>
        <v>-7.4</v>
      </c>
      <c r="E43" s="24">
        <f> if( ModifiedAvg!E43 =0,0,  if( ModifiedAvg!E43 &gt;=36, ROUND((36-ModifiedAvg!E43)*0.75,1), round(36 -ModifiedAvg!E43,1)))</f>
        <v>-5.9</v>
      </c>
      <c r="F43" s="24">
        <f> if( ModifiedAvg!F43 =0,0,  if( ModifiedAvg!F43 &gt;=36, ROUND((36-ModifiedAvg!F43)* (0.75 + (count(Actuals!C43:F43)/18*0.15)),1), round(36 -ModifiedAvg!F43,1)))</f>
        <v>-5.9</v>
      </c>
      <c r="G43" s="24">
        <f> if( ModifiedAvg!G43 =0,0,  if( ModifiedAvg!G43 &gt;=36, ROUND((36-ModifiedAvg!G43)* (0.75 + (count(Actuals!$C43:G43)/18*0.15)),1), round(36 -ModifiedAvg!G43,1)))</f>
        <v>-5.9</v>
      </c>
      <c r="H43" s="24">
        <f> if( ModifiedAvg!H43 =0,0,  if( ModifiedAvg!H43 &gt;=36, ROUND((36-ModifiedAvg!H43)* (0.83),1), round(36 -ModifiedAvg!H43,1)))</f>
        <v>-6.6</v>
      </c>
      <c r="I43" s="24">
        <f> if( ModifiedAvg!I43 =0,0,  if( ModifiedAvg!I43 &gt;=36, ROUND((36-ModifiedAvg!I43)* (0.83),1), round(36 -ModifiedAvg!I43,1)))</f>
        <v>-6.6</v>
      </c>
      <c r="J43" s="24">
        <f> if( ModifiedAvg!J43 =0,0,  if( ModifiedAvg!J43 &gt;=36, ROUND((36-ModifiedAvg!J43)* (0.83),1), round(36 -ModifiedAvg!J43,1)))</f>
        <v>-6.6</v>
      </c>
      <c r="K43" s="24">
        <f> if( ModifiedAvg!K43 =0,0,  if( ModifiedAvg!K43 &gt;=36, ROUND((36-ModifiedAvg!K43)* (0.83),1), round(36 -ModifiedAvg!K43,1)))</f>
        <v>-6.6</v>
      </c>
      <c r="L43" s="24">
        <f> if( ModifiedAvg!L43 =0,0,  if( ModifiedAvg!L43 &gt;=36, ROUND((36-ModifiedAvg!L43)* (0.83),1), round(36 -ModifiedAvg!L43,1)))</f>
        <v>-6.6</v>
      </c>
      <c r="M43" s="24">
        <f> if( ModifiedAvg!M43 =0,0,  if( ModifiedAvg!M43 &gt;=36, ROUND((36-ModifiedAvg!M43)* (0.83),1), round(36 -ModifiedAvg!M43,1)))</f>
        <v>-6.6</v>
      </c>
      <c r="N43" s="24">
        <f> if( ModifiedAvg!N43 =0,0,  if( ModifiedAvg!N43 &gt;=36, ROUND((36-ModifiedAvg!N43)* (0.83),1), round(36 -ModifiedAvg!N43,1)))</f>
        <v>-6.6</v>
      </c>
      <c r="O43" s="24">
        <f> if( ModifiedAvg!O43 =0,0,  if( ModifiedAvg!O43 &gt;=36, ROUND((36-ModifiedAvg!O43)* (0.83),1), round(36 -ModifiedAvg!O43,1)))</f>
        <v>-6.6</v>
      </c>
      <c r="P43" s="24">
        <f> if( ModifiedAvg!P43 =0,0,  if( ModifiedAvg!P43 &gt;=36, ROUND((36-ModifiedAvg!P43)* (0.83),1), round(36 -ModifiedAvg!P43,1)))</f>
        <v>-6.6</v>
      </c>
      <c r="Q43" s="24">
        <f> if( ModifiedAvg!Q43 =0,0,  if( ModifiedAvg!Q43 &gt;=36, ROUND((36-ModifiedAvg!Q43)* (0.83),1), round(36 -ModifiedAvg!Q43,1)))</f>
        <v>-6.6</v>
      </c>
      <c r="R43" s="24">
        <f> if( ModifiedAvg!R43 =0,0,  if( ModifiedAvg!R43 &gt;=36, ROUND((36-ModifiedAvg!R43)* (0.75 + (count(Actuals!$C43:R43)/18*0.15)),1), round((36 -ModifiedAvg!R43)/2,1)))</f>
        <v>0</v>
      </c>
    </row>
    <row r="44">
      <c r="A44" s="13" t="str">
        <f>Actuals!B44</f>
        <v>Walt S</v>
      </c>
      <c r="B44" s="24">
        <f> if( ModifiedAvg!B44 =0,0,  if( ModifiedAvg!B44 &gt;=$B$2, ROUND(($B$2-ModifiedAvg!B44)* (0.75 + (count(Actuals!B44:$C44)/18*0.15)),1), round($B$2 -ModifiedAvg!B44,1)))</f>
        <v>-2.3</v>
      </c>
      <c r="C44" s="24">
        <f> if( ModifiedAvg!C44 =0,0,  if( ModifiedAvg!C44 &gt;=$C$2, ROUND(($C$2-ModifiedAvg!C44)* (0.75 + (count(Actuals!C44:$C44)/18*0.15)),1), round($C$2 -ModifiedAvg!C44,1)))</f>
        <v>-1.5</v>
      </c>
      <c r="D44" s="24">
        <f> if( ModifiedAvg!D44 =0,0,  if( ModifiedAvg!D44 &gt;=$D$2, ROUND(($D$2-ModifiedAvg!D44)*0.75,1), round($D$2 -ModifiedAvg!D44,1)))</f>
        <v>-2.3</v>
      </c>
      <c r="E44" s="24">
        <f> if( ModifiedAvg!E44 =0,0,  if( ModifiedAvg!E44 &gt;=36, ROUND((36-ModifiedAvg!E44)*0.75,1), round(36 -ModifiedAvg!E44,1)))</f>
        <v>0</v>
      </c>
      <c r="F44" s="24">
        <f> if( ModifiedAvg!F44 =0,0,  if( ModifiedAvg!F44 &gt;=36, ROUND((36-ModifiedAvg!F44)* (0.75 + (count(Actuals!C44:F44)/18*0.15)),1), round(36 -ModifiedAvg!F44,1)))</f>
        <v>0</v>
      </c>
      <c r="G44" s="24">
        <f> if( ModifiedAvg!G44 =0,0,  if( ModifiedAvg!G44 &gt;=36, ROUND((36-ModifiedAvg!G44)* (0.75 + (count(Actuals!$C44:G44)/18*0.15)),1), round(36 -ModifiedAvg!G44,1)))</f>
        <v>0</v>
      </c>
      <c r="H44" s="24">
        <f> if( ModifiedAvg!H44 =0,0,  if( ModifiedAvg!H44 &gt;=36, ROUND((36-ModifiedAvg!H44)* (0.83),1), round(36 -ModifiedAvg!H44,1)))</f>
        <v>0</v>
      </c>
      <c r="I44" s="24">
        <f> if( ModifiedAvg!I44 =0,0,  if( ModifiedAvg!I44 &gt;=36, ROUND((36-ModifiedAvg!I44)* (0.83),1), round(36 -ModifiedAvg!I44,1)))</f>
        <v>0</v>
      </c>
      <c r="J44" s="24">
        <f> if( ModifiedAvg!J44 =0,0,  if( ModifiedAvg!J44 &gt;=36, ROUND((36-ModifiedAvg!J44)* (0.83),1), round(36 -ModifiedAvg!J44,1)))</f>
        <v>0</v>
      </c>
      <c r="K44" s="24">
        <f> if( ModifiedAvg!K44 =0,0,  if( ModifiedAvg!K44 &gt;=36, ROUND((36-ModifiedAvg!K44)* (0.83),1), round(36 -ModifiedAvg!K44,1)))</f>
        <v>0</v>
      </c>
      <c r="L44" s="24">
        <f> if( ModifiedAvg!L44 =0,0,  if( ModifiedAvg!L44 &gt;=36, ROUND((36-ModifiedAvg!L44)* (0.83),1), round(36 -ModifiedAvg!L44,1)))</f>
        <v>0</v>
      </c>
      <c r="M44" s="24">
        <f> if( ModifiedAvg!M44 =0,0,  if( ModifiedAvg!M44 &gt;=36, ROUND((36-ModifiedAvg!M44)* (0.83),1), round(36 -ModifiedAvg!M44,1)))</f>
        <v>0</v>
      </c>
      <c r="N44" s="24">
        <f> if( ModifiedAvg!N44 =0,0,  if( ModifiedAvg!N44 &gt;=36, ROUND((36-ModifiedAvg!N44)* (0.83),1), round(36 -ModifiedAvg!N44,1)))</f>
        <v>0</v>
      </c>
      <c r="O44" s="24">
        <f> if( ModifiedAvg!O44 =0,0,  if( ModifiedAvg!O44 &gt;=36, ROUND((36-ModifiedAvg!O44)* (0.83),1), round(36 -ModifiedAvg!O44,1)))</f>
        <v>0</v>
      </c>
      <c r="P44" s="24">
        <f> if( ModifiedAvg!P44 =0,0,  if( ModifiedAvg!P44 &gt;=36, ROUND((36-ModifiedAvg!P44)* (0.83),1), round(36 -ModifiedAvg!P44,1)))</f>
        <v>0</v>
      </c>
      <c r="Q44" s="24">
        <f> if( ModifiedAvg!Q44 =0,0,  if( ModifiedAvg!Q44 &gt;=36, ROUND((36-ModifiedAvg!Q44)* (0.83),1), round(36 -ModifiedAvg!Q44,1)))</f>
        <v>0</v>
      </c>
      <c r="R44" s="24">
        <f> if( ModifiedAvg!R44 =0,0,  if( ModifiedAvg!R44 &gt;=36, ROUND((36-ModifiedAvg!R44)* (0.75 + (count(Actuals!$C44:R44)/18*0.15)),1), round((36 -ModifiedAvg!R44)/2,1)))</f>
        <v>0</v>
      </c>
    </row>
    <row r="45">
      <c r="A45" s="13" t="str">
        <f>Actuals!B45</f>
        <v>James D</v>
      </c>
      <c r="B45" s="24">
        <f> if( ModifiedAvg!B45 =0,0,  if( ModifiedAvg!B45 &gt;=$B$2, ROUND(($B$2-ModifiedAvg!B45)* (0.75 + (count(Actuals!B45:$C45)/18*0.15)),1), round($B$2 -ModifiedAvg!B45,1)))</f>
        <v>-9.7</v>
      </c>
      <c r="C45" s="24">
        <f> if( ModifiedAvg!C45 =0,0,  if( ModifiedAvg!C45 &gt;=$C$2, ROUND(($C$2-ModifiedAvg!C45)* (0.75 + (count(Actuals!C45:$C45)/18*0.15)),1), round($C$2 -ModifiedAvg!C45,1)))</f>
        <v>-9</v>
      </c>
      <c r="D45" s="24">
        <f> if( ModifiedAvg!D45 =0,0,  if( ModifiedAvg!D45 &gt;=$D$2, ROUND(($D$2-ModifiedAvg!D45)*0.75,1), round($D$2 -ModifiedAvg!D45,1)))</f>
        <v>-9.7</v>
      </c>
      <c r="E45" s="24">
        <f> if( ModifiedAvg!E45 =0,0,  if( ModifiedAvg!E45 &gt;=36, ROUND((36-ModifiedAvg!E45)*0.75,1), round(36 -ModifiedAvg!E45,1)))</f>
        <v>-8.2</v>
      </c>
      <c r="F45" s="24">
        <f> if( ModifiedAvg!F45 =0,0,  if( ModifiedAvg!F45 &gt;=36, ROUND((36-ModifiedAvg!F45)* (0.75 + (count(Actuals!C45:F45)/18*0.15)),1), round(36 -ModifiedAvg!F45,1)))</f>
        <v>-8.2</v>
      </c>
      <c r="G45" s="24">
        <f> if( ModifiedAvg!G45 =0,0,  if( ModifiedAvg!G45 &gt;=36, ROUND((36-ModifiedAvg!G45)* (0.75 + (count(Actuals!$C45:G45)/18*0.15)),1), round(36 -ModifiedAvg!G45,1)))</f>
        <v>-8.2</v>
      </c>
      <c r="H45" s="24">
        <f> if( ModifiedAvg!H45 =0,0,  if( ModifiedAvg!H45 &gt;=36, ROUND((36-ModifiedAvg!H45)* (0.83),1), round(36 -ModifiedAvg!H45,1)))</f>
        <v>-9.1</v>
      </c>
      <c r="I45" s="24">
        <f> if( ModifiedAvg!I45 =0,0,  if( ModifiedAvg!I45 &gt;=36, ROUND((36-ModifiedAvg!I45)* (0.83),1), round(36 -ModifiedAvg!I45,1)))</f>
        <v>-9.1</v>
      </c>
      <c r="J45" s="24">
        <f> if( ModifiedAvg!J45 =0,0,  if( ModifiedAvg!J45 &gt;=36, ROUND((36-ModifiedAvg!J45)* (0.83),1), round(36 -ModifiedAvg!J45,1)))</f>
        <v>-9.1</v>
      </c>
      <c r="K45" s="24">
        <f> if( ModifiedAvg!K45 =0,0,  if( ModifiedAvg!K45 &gt;=36, ROUND((36-ModifiedAvg!K45)* (0.83),1), round(36 -ModifiedAvg!K45,1)))</f>
        <v>-9.1</v>
      </c>
      <c r="L45" s="24">
        <f> if( ModifiedAvg!L45 =0,0,  if( ModifiedAvg!L45 &gt;=36, ROUND((36-ModifiedAvg!L45)* (0.83),1), round(36 -ModifiedAvg!L45,1)))</f>
        <v>-9.1</v>
      </c>
      <c r="M45" s="24">
        <f> if( ModifiedAvg!M45 =0,0,  if( ModifiedAvg!M45 &gt;=36, ROUND((36-ModifiedAvg!M45)* (0.83),1), round(36 -ModifiedAvg!M45,1)))</f>
        <v>-9.1</v>
      </c>
      <c r="N45" s="24">
        <f> if( ModifiedAvg!N45 =0,0,  if( ModifiedAvg!N45 &gt;=36, ROUND((36-ModifiedAvg!N45)* (0.83),1), round(36 -ModifiedAvg!N45,1)))</f>
        <v>-9.1</v>
      </c>
      <c r="O45" s="24">
        <f> if( ModifiedAvg!O45 =0,0,  if( ModifiedAvg!O45 &gt;=36, ROUND((36-ModifiedAvg!O45)* (0.83),1), round(36 -ModifiedAvg!O45,1)))</f>
        <v>-9.1</v>
      </c>
      <c r="P45" s="24">
        <f> if( ModifiedAvg!P45 =0,0,  if( ModifiedAvg!P45 &gt;=36, ROUND((36-ModifiedAvg!P45)* (0.83),1), round(36 -ModifiedAvg!P45,1)))</f>
        <v>-9.1</v>
      </c>
      <c r="Q45" s="24">
        <f> if( ModifiedAvg!Q45 =0,0,  if( ModifiedAvg!Q45 &gt;=36, ROUND((36-ModifiedAvg!Q45)* (0.83),1), round(36 -ModifiedAvg!Q45,1)))</f>
        <v>-9.1</v>
      </c>
      <c r="R45" s="24">
        <f> if( ModifiedAvg!R45 =0,0,  if( ModifiedAvg!R45 &gt;=36, ROUND((36-ModifiedAvg!R45)* (0.75 + (count(Actuals!$C45:R45)/18*0.15)),1), round((36 -ModifiedAvg!R45)/2,1)))</f>
        <v>0</v>
      </c>
    </row>
    <row r="46">
      <c r="A46" s="13" t="str">
        <f>Actuals!B46</f>
        <v>Josh Norris</v>
      </c>
      <c r="B46" s="24">
        <f> if( ModifiedAvg!B46 =0,0,  if( ModifiedAvg!B46 &gt;=$B$2, ROUND(($B$2-ModifiedAvg!B46)* (0.75 + (count(Actuals!B46:$C46)/18*0.15)),1), round($B$2 -ModifiedAvg!B46,1)))</f>
        <v>-17.3</v>
      </c>
      <c r="C46" s="24">
        <f> if( ModifiedAvg!C46 =0,0,  if( ModifiedAvg!C46 &gt;=$C$2, ROUND(($C$2-ModifiedAvg!C46)* (0.75 + (count(Actuals!C46:$C46)/18*0.15)),1), round($C$2 -ModifiedAvg!C46,1)))</f>
        <v>-16.5</v>
      </c>
      <c r="D46" s="24">
        <f> if( ModifiedAvg!D46 =0,0,  if( ModifiedAvg!D46 &gt;=$D$2, ROUND(($D$2-ModifiedAvg!D46)*0.75,1), round($D$2 -ModifiedAvg!D46,1)))</f>
        <v>-17.3</v>
      </c>
      <c r="E46" s="24">
        <f> if( ModifiedAvg!E46 =0,0,  if( ModifiedAvg!E46 &gt;=36, ROUND((36-ModifiedAvg!E46)*0.75,1), round(36 -ModifiedAvg!E46,1)))</f>
        <v>-15.8</v>
      </c>
      <c r="F46" s="24">
        <f> if( ModifiedAvg!F46 =0,0,  if( ModifiedAvg!F46 &gt;=36, ROUND((36-ModifiedAvg!F46)* (0.75 + (count(Actuals!C46:F46)/18*0.15)),1), round(36 -ModifiedAvg!F46,1)))</f>
        <v>-15.8</v>
      </c>
      <c r="G46" s="24">
        <f> if( ModifiedAvg!G46 =0,0,  if( ModifiedAvg!G46 &gt;=36, ROUND((36-ModifiedAvg!G46)* (0.75 + (count(Actuals!$C46:G46)/18*0.15)),1), round(36 -ModifiedAvg!G46,1)))</f>
        <v>-15.8</v>
      </c>
      <c r="H46" s="24">
        <f> if( ModifiedAvg!H46 =0,0,  if( ModifiedAvg!H46 &gt;=36, ROUND((36-ModifiedAvg!H46)* (0.83),1), round(36 -ModifiedAvg!H46,1)))</f>
        <v>-17.4</v>
      </c>
      <c r="I46" s="24">
        <f> if( ModifiedAvg!I46 =0,0,  if( ModifiedAvg!I46 &gt;=36, ROUND((36-ModifiedAvg!I46)* (0.83),1), round(36 -ModifiedAvg!I46,1)))</f>
        <v>-17.4</v>
      </c>
      <c r="J46" s="24">
        <f> if( ModifiedAvg!J46 =0,0,  if( ModifiedAvg!J46 &gt;=36, ROUND((36-ModifiedAvg!J46)* (0.83),1), round(36 -ModifiedAvg!J46,1)))</f>
        <v>-17.4</v>
      </c>
      <c r="K46" s="24">
        <f> if( ModifiedAvg!K46 =0,0,  if( ModifiedAvg!K46 &gt;=36, ROUND((36-ModifiedAvg!K46)* (0.83),1), round(36 -ModifiedAvg!K46,1)))</f>
        <v>-17.4</v>
      </c>
      <c r="L46" s="24">
        <f> if( ModifiedAvg!L46 =0,0,  if( ModifiedAvg!L46 &gt;=36, ROUND((36-ModifiedAvg!L46)* (0.83),1), round(36 -ModifiedAvg!L46,1)))</f>
        <v>-17.4</v>
      </c>
      <c r="M46" s="24">
        <f> if( ModifiedAvg!M46 =0,0,  if( ModifiedAvg!M46 &gt;=36, ROUND((36-ModifiedAvg!M46)* (0.83),1), round(36 -ModifiedAvg!M46,1)))</f>
        <v>-17.4</v>
      </c>
      <c r="N46" s="24">
        <f> if( ModifiedAvg!N46 =0,0,  if( ModifiedAvg!N46 &gt;=36, ROUND((36-ModifiedAvg!N46)* (0.83),1), round(36 -ModifiedAvg!N46,1)))</f>
        <v>-17.4</v>
      </c>
      <c r="O46" s="24">
        <f> if( ModifiedAvg!O46 =0,0,  if( ModifiedAvg!O46 &gt;=36, ROUND((36-ModifiedAvg!O46)* (0.83),1), round(36 -ModifiedAvg!O46,1)))</f>
        <v>-17.4</v>
      </c>
      <c r="P46" s="24">
        <f> if( ModifiedAvg!P46 =0,0,  if( ModifiedAvg!P46 &gt;=36, ROUND((36-ModifiedAvg!P46)* (0.83),1), round(36 -ModifiedAvg!P46,1)))</f>
        <v>-17.4</v>
      </c>
      <c r="Q46" s="24">
        <f> if( ModifiedAvg!Q46 =0,0,  if( ModifiedAvg!Q46 &gt;=36, ROUND((36-ModifiedAvg!Q46)* (0.83),1), round(36 -ModifiedAvg!Q46,1)))</f>
        <v>-17.4</v>
      </c>
      <c r="R46" s="24">
        <f> if( ModifiedAvg!R46 =0,0,  if( ModifiedAvg!R46 &gt;=36, ROUND((36-ModifiedAvg!R46)* (0.75 + (count(Actuals!$C46:R46)/18*0.15)),1), round((36 -ModifiedAvg!R46)/2,1)))</f>
        <v>0</v>
      </c>
    </row>
    <row r="47">
      <c r="A47" s="13" t="str">
        <f>Actuals!B47</f>
        <v>Simon Sr</v>
      </c>
      <c r="B47" s="24">
        <f> if( ModifiedAvg!B47 =0,0,  if( ModifiedAvg!B47 &gt;=$B$2, ROUND(($B$2-ModifiedAvg!B47)* (0.75 + (count(Actuals!B47:$C47)/18*0.15)),1), round($B$2 -ModifiedAvg!B47,1)))</f>
        <v>-5.7</v>
      </c>
      <c r="C47" s="24">
        <f> if( ModifiedAvg!C47 =0,0,  if( ModifiedAvg!C47 &gt;=$C$2, ROUND(($C$2-ModifiedAvg!C47)* (0.75 + (count(Actuals!C47:$C47)/18*0.15)),1), round($C$2 -ModifiedAvg!C47,1)))</f>
        <v>-5</v>
      </c>
      <c r="D47" s="24">
        <f> if( ModifiedAvg!D47 =0,0,  if( ModifiedAvg!D47 &gt;=$D$2, ROUND(($D$2-ModifiedAvg!D47)*0.75,1), round($D$2 -ModifiedAvg!D47,1)))</f>
        <v>-5.7</v>
      </c>
      <c r="E47" s="24">
        <f> if( ModifiedAvg!E47 =0,0,  if( ModifiedAvg!E47 &gt;=36, ROUND((36-ModifiedAvg!E47)*0.75,1), round(36 -ModifiedAvg!E47,1)))</f>
        <v>-4.2</v>
      </c>
      <c r="F47" s="24">
        <f> if( ModifiedAvg!F47 =0,0,  if( ModifiedAvg!F47 &gt;=36, ROUND((36-ModifiedAvg!F47)* (0.75 + (count(Actuals!C47:F47)/18*0.15)),1), round(36 -ModifiedAvg!F47,1)))</f>
        <v>-4.2</v>
      </c>
      <c r="G47" s="24">
        <f> if( ModifiedAvg!G47 =0,0,  if( ModifiedAvg!G47 &gt;=36, ROUND((36-ModifiedAvg!G47)* (0.75 + (count(Actuals!$C47:G47)/18*0.15)),1), round(36 -ModifiedAvg!G47,1)))</f>
        <v>-4.2</v>
      </c>
      <c r="H47" s="24">
        <f> if( ModifiedAvg!H47 =0,0,  if( ModifiedAvg!H47 &gt;=36, ROUND((36-ModifiedAvg!H47)* (0.83),1), round(36 -ModifiedAvg!H47,1)))</f>
        <v>-4.6</v>
      </c>
      <c r="I47" s="24">
        <f> if( ModifiedAvg!I47 =0,0,  if( ModifiedAvg!I47 &gt;=36, ROUND((36-ModifiedAvg!I47)* (0.83),1), round(36 -ModifiedAvg!I47,1)))</f>
        <v>-4.6</v>
      </c>
      <c r="J47" s="24">
        <f> if( ModifiedAvg!J47 =0,0,  if( ModifiedAvg!J47 &gt;=36, ROUND((36-ModifiedAvg!J47)* (0.83),1), round(36 -ModifiedAvg!J47,1)))</f>
        <v>-4.6</v>
      </c>
      <c r="K47" s="24">
        <f> if( ModifiedAvg!K47 =0,0,  if( ModifiedAvg!K47 &gt;=36, ROUND((36-ModifiedAvg!K47)* (0.83),1), round(36 -ModifiedAvg!K47,1)))</f>
        <v>-4.6</v>
      </c>
      <c r="L47" s="24">
        <f> if( ModifiedAvg!L47 =0,0,  if( ModifiedAvg!L47 &gt;=36, ROUND((36-ModifiedAvg!L47)* (0.83),1), round(36 -ModifiedAvg!L47,1)))</f>
        <v>-4.6</v>
      </c>
      <c r="M47" s="24">
        <f> if( ModifiedAvg!M47 =0,0,  if( ModifiedAvg!M47 &gt;=36, ROUND((36-ModifiedAvg!M47)* (0.83),1), round(36 -ModifiedAvg!M47,1)))</f>
        <v>-4.6</v>
      </c>
      <c r="N47" s="24">
        <f> if( ModifiedAvg!N47 =0,0,  if( ModifiedAvg!N47 &gt;=36, ROUND((36-ModifiedAvg!N47)* (0.83),1), round(36 -ModifiedAvg!N47,1)))</f>
        <v>-4.6</v>
      </c>
      <c r="O47" s="24">
        <f> if( ModifiedAvg!O47 =0,0,  if( ModifiedAvg!O47 &gt;=36, ROUND((36-ModifiedAvg!O47)* (0.83),1), round(36 -ModifiedAvg!O47,1)))</f>
        <v>-4.6</v>
      </c>
      <c r="P47" s="24">
        <f> if( ModifiedAvg!P47 =0,0,  if( ModifiedAvg!P47 &gt;=36, ROUND((36-ModifiedAvg!P47)* (0.83),1), round(36 -ModifiedAvg!P47,1)))</f>
        <v>-4.6</v>
      </c>
      <c r="Q47" s="24">
        <f> if( ModifiedAvg!Q47 =0,0,  if( ModifiedAvg!Q47 &gt;=36, ROUND((36-ModifiedAvg!Q47)* (0.83),1), round(36 -ModifiedAvg!Q47,1)))</f>
        <v>-4.6</v>
      </c>
      <c r="R47" s="24">
        <f> if( ModifiedAvg!R47 =0,0,  if( ModifiedAvg!R47 &gt;=36, ROUND((36-ModifiedAvg!R47)* (0.75 + (count(Actuals!$C47:R47)/18*0.15)),1), round((36 -ModifiedAvg!R47)/2,1)))</f>
        <v>0</v>
      </c>
    </row>
    <row r="48">
      <c r="A48" s="13" t="str">
        <f>Actuals!B48</f>
        <v>Francisco</v>
      </c>
      <c r="B48" s="24">
        <f> if( ModifiedAvg!B48 =0,0,  if( ModifiedAvg!B48 &gt;=$B$2, ROUND(($B$2-ModifiedAvg!B48)* (0.75 + (count(Actuals!B48:$C48)/18*0.15)),1), round($B$2 -ModifiedAvg!B48,1)))</f>
        <v>-8.6</v>
      </c>
      <c r="C48" s="24">
        <f> if( ModifiedAvg!C48 =0,0,  if( ModifiedAvg!C48 &gt;=$C$2, ROUND(($C$2-ModifiedAvg!C48)* (0.75 + (count(Actuals!C48:$C48)/18*0.15)),1), round($C$2 -ModifiedAvg!C48,1)))</f>
        <v>-7.9</v>
      </c>
      <c r="D48" s="24">
        <f> if( ModifiedAvg!D48 =0,0,  if( ModifiedAvg!D48 &gt;=$D$2, ROUND(($D$2-ModifiedAvg!D48)*0.75,1), round($D$2 -ModifiedAvg!D48,1)))</f>
        <v>-8</v>
      </c>
      <c r="E48" s="24">
        <f> if( ModifiedAvg!E48 =0,0,  if( ModifiedAvg!E48 &gt;=36, ROUND((36-ModifiedAvg!E48)*0.75,1), round(36 -ModifiedAvg!E48,1)))</f>
        <v>-6.5</v>
      </c>
      <c r="F48" s="24">
        <f> if( ModifiedAvg!F48 =0,0,  if( ModifiedAvg!F48 &gt;=36, ROUND((36-ModifiedAvg!F48)* (0.75 + (count(Actuals!C48:F48)/18*0.15)),1), round(36 -ModifiedAvg!F48,1)))</f>
        <v>-6.7</v>
      </c>
      <c r="G48" s="24">
        <f> if( ModifiedAvg!G48 =0,0,  if( ModifiedAvg!G48 &gt;=36, ROUND((36-ModifiedAvg!G48)* (0.75 + (count(Actuals!$C48:G48)/18*0.15)),1), round(36 -ModifiedAvg!G48,1)))</f>
        <v>-6.7</v>
      </c>
      <c r="H48" s="24">
        <f> if( ModifiedAvg!H48 =0,0,  if( ModifiedAvg!H48 &gt;=36, ROUND((36-ModifiedAvg!H48)* (0.83),1), round(36 -ModifiedAvg!H48,1)))</f>
        <v>-7.2</v>
      </c>
      <c r="I48" s="24">
        <f> if( ModifiedAvg!I48 =0,0,  if( ModifiedAvg!I48 &gt;=36, ROUND((36-ModifiedAvg!I48)* (0.83),1), round(36 -ModifiedAvg!I48,1)))</f>
        <v>-7.2</v>
      </c>
      <c r="J48" s="24">
        <f> if( ModifiedAvg!J48 =0,0,  if( ModifiedAvg!J48 &gt;=36, ROUND((36-ModifiedAvg!J48)* (0.83),1), round(36 -ModifiedAvg!J48,1)))</f>
        <v>-7.2</v>
      </c>
      <c r="K48" s="24">
        <f> if( ModifiedAvg!K48 =0,0,  if( ModifiedAvg!K48 &gt;=36, ROUND((36-ModifiedAvg!K48)* (0.83),1), round(36 -ModifiedAvg!K48,1)))</f>
        <v>-7.2</v>
      </c>
      <c r="L48" s="24">
        <f> if( ModifiedAvg!L48 =0,0,  if( ModifiedAvg!L48 &gt;=36, ROUND((36-ModifiedAvg!L48)* (0.83),1), round(36 -ModifiedAvg!L48,1)))</f>
        <v>-7.2</v>
      </c>
      <c r="M48" s="24">
        <f> if( ModifiedAvg!M48 =0,0,  if( ModifiedAvg!M48 &gt;=36, ROUND((36-ModifiedAvg!M48)* (0.83),1), round(36 -ModifiedAvg!M48,1)))</f>
        <v>-7.2</v>
      </c>
      <c r="N48" s="24">
        <f> if( ModifiedAvg!N48 =0,0,  if( ModifiedAvg!N48 &gt;=36, ROUND((36-ModifiedAvg!N48)* (0.83),1), round(36 -ModifiedAvg!N48,1)))</f>
        <v>-7.2</v>
      </c>
      <c r="O48" s="24">
        <f> if( ModifiedAvg!O48 =0,0,  if( ModifiedAvg!O48 &gt;=36, ROUND((36-ModifiedAvg!O48)* (0.83),1), round(36 -ModifiedAvg!O48,1)))</f>
        <v>-7.2</v>
      </c>
      <c r="P48" s="24">
        <f> if( ModifiedAvg!P48 =0,0,  if( ModifiedAvg!P48 &gt;=36, ROUND((36-ModifiedAvg!P48)* (0.83),1), round(36 -ModifiedAvg!P48,1)))</f>
        <v>-7.2</v>
      </c>
      <c r="Q48" s="24">
        <f> if( ModifiedAvg!Q48 =0,0,  if( ModifiedAvg!Q48 &gt;=36, ROUND((36-ModifiedAvg!Q48)* (0.83),1), round(36 -ModifiedAvg!Q48,1)))</f>
        <v>-7.2</v>
      </c>
      <c r="R48" s="24">
        <f> if( ModifiedAvg!R48 =0,0,  if( ModifiedAvg!R48 &gt;=36, ROUND((36-ModifiedAvg!R48)* (0.75 + (count(Actuals!$C48:R48)/18*0.15)),1), round((36 -ModifiedAvg!R48)/2,1)))</f>
        <v>0</v>
      </c>
    </row>
    <row r="49">
      <c r="A49" s="13" t="str">
        <f>Actuals!B49</f>
        <v>Cam King</v>
      </c>
      <c r="B49" s="24">
        <f> if( ModifiedAvg!B49 =0,0,  if( ModifiedAvg!B49 &gt;=$B$2, ROUND(($B$2-ModifiedAvg!B49)* (0.75 + (count(Actuals!B49:$C49)/18*0.15)),1), round($B$2 -ModifiedAvg!B49,1)))</f>
        <v>-9.8</v>
      </c>
      <c r="C49" s="24">
        <f> if( ModifiedAvg!C49 =0,0,  if( ModifiedAvg!C49 &gt;=$C$2, ROUND(($C$2-ModifiedAvg!C49)* (0.75 + (count(Actuals!C49:$C49)/18*0.15)),1), round($C$2 -ModifiedAvg!C49,1)))</f>
        <v>-7.5</v>
      </c>
      <c r="D49" s="24">
        <f> if( ModifiedAvg!D49 =0,0,  if( ModifiedAvg!D49 &gt;=$D$2, ROUND(($D$2-ModifiedAvg!D49)*0.75,1), round($D$2 -ModifiedAvg!D49,1)))</f>
        <v>-8.2</v>
      </c>
      <c r="E49" s="24">
        <f> if( ModifiedAvg!E49 =0,0,  if( ModifiedAvg!E49 &gt;=36, ROUND((36-ModifiedAvg!E49)*0.75,1), round(36 -ModifiedAvg!E49,1)))</f>
        <v>-6.7</v>
      </c>
      <c r="F49" s="24">
        <f> if( ModifiedAvg!F49 =0,0,  if( ModifiedAvg!F49 &gt;=36, ROUND((36-ModifiedAvg!F49)* (0.75 + (count(Actuals!C49:F49)/18*0.15)),1), round(36 -ModifiedAvg!F49,1)))</f>
        <v>-7</v>
      </c>
      <c r="G49" s="24">
        <f> if( ModifiedAvg!G49 =0,0,  if( ModifiedAvg!G49 &gt;=36, ROUND((36-ModifiedAvg!G49)* (0.75 + (count(Actuals!$C49:G49)/18*0.15)),1), round(36 -ModifiedAvg!G49,1)))</f>
        <v>-7</v>
      </c>
      <c r="H49" s="24">
        <f> if( ModifiedAvg!H49 =0,0,  if( ModifiedAvg!H49 &gt;=36, ROUND((36-ModifiedAvg!H49)* (0.83),1), round(36 -ModifiedAvg!H49,1)))</f>
        <v>-7.4</v>
      </c>
      <c r="I49" s="24">
        <f> if( ModifiedAvg!I49 =0,0,  if( ModifiedAvg!I49 &gt;=36, ROUND((36-ModifiedAvg!I49)* (0.83),1), round(36 -ModifiedAvg!I49,1)))</f>
        <v>-7.4</v>
      </c>
      <c r="J49" s="24">
        <f> if( ModifiedAvg!J49 =0,0,  if( ModifiedAvg!J49 &gt;=36, ROUND((36-ModifiedAvg!J49)* (0.83),1), round(36 -ModifiedAvg!J49,1)))</f>
        <v>-7.4</v>
      </c>
      <c r="K49" s="24">
        <f> if( ModifiedAvg!K49 =0,0,  if( ModifiedAvg!K49 &gt;=36, ROUND((36-ModifiedAvg!K49)* (0.83),1), round(36 -ModifiedAvg!K49,1)))</f>
        <v>-7.4</v>
      </c>
      <c r="L49" s="24">
        <f> if( ModifiedAvg!L49 =0,0,  if( ModifiedAvg!L49 &gt;=36, ROUND((36-ModifiedAvg!L49)* (0.83),1), round(36 -ModifiedAvg!L49,1)))</f>
        <v>-7.4</v>
      </c>
      <c r="M49" s="24">
        <f> if( ModifiedAvg!M49 =0,0,  if( ModifiedAvg!M49 &gt;=36, ROUND((36-ModifiedAvg!M49)* (0.83),1), round(36 -ModifiedAvg!M49,1)))</f>
        <v>-7.4</v>
      </c>
      <c r="N49" s="24">
        <f> if( ModifiedAvg!N49 =0,0,  if( ModifiedAvg!N49 &gt;=36, ROUND((36-ModifiedAvg!N49)* (0.83),1), round(36 -ModifiedAvg!N49,1)))</f>
        <v>-7.4</v>
      </c>
      <c r="O49" s="24">
        <f> if( ModifiedAvg!O49 =0,0,  if( ModifiedAvg!O49 &gt;=36, ROUND((36-ModifiedAvg!O49)* (0.83),1), round(36 -ModifiedAvg!O49,1)))</f>
        <v>-7.4</v>
      </c>
      <c r="P49" s="24">
        <f> if( ModifiedAvg!P49 =0,0,  if( ModifiedAvg!P49 &gt;=36, ROUND((36-ModifiedAvg!P49)* (0.83),1), round(36 -ModifiedAvg!P49,1)))</f>
        <v>-7.4</v>
      </c>
      <c r="Q49" s="24">
        <f> if( ModifiedAvg!Q49 =0,0,  if( ModifiedAvg!Q49 &gt;=36, ROUND((36-ModifiedAvg!Q49)* (0.83),1), round(36 -ModifiedAvg!Q49,1)))</f>
        <v>-7.4</v>
      </c>
      <c r="R49" s="24">
        <f> if( ModifiedAvg!R49 =0,0,  if( ModifiedAvg!R49 &gt;=36, ROUND((36-ModifiedAvg!R49)* (0.75 + (count(Actuals!$C49:R49)/18*0.15)),1), round((36 -ModifiedAvg!R49)/2,1)))</f>
        <v>0</v>
      </c>
    </row>
    <row r="50">
      <c r="A50" s="13" t="str">
        <f>Actuals!B50</f>
        <v>Dan K</v>
      </c>
      <c r="B50" s="24">
        <f> if( ModifiedAvg!B50 =0,0,  if( ModifiedAvg!B50 &gt;=$B$2, ROUND(($B$2-ModifiedAvg!B50)* (0.75 + (count(Actuals!B50:$C50)/18*0.15)),1), round($B$2 -ModifiedAvg!B50,1)))</f>
        <v>-9.6</v>
      </c>
      <c r="C50" s="24">
        <f> if( ModifiedAvg!C50 =0,0,  if( ModifiedAvg!C50 &gt;=$C$2, ROUND(($C$2-ModifiedAvg!C50)* (0.75 + (count(Actuals!C50:$C50)/18*0.15)),1), round($C$2 -ModifiedAvg!C50,1)))</f>
        <v>-8.9</v>
      </c>
      <c r="D50" s="24">
        <f> if( ModifiedAvg!D50 =0,0,  if( ModifiedAvg!D50 &gt;=$D$2, ROUND(($D$2-ModifiedAvg!D50)*0.75,1), round($D$2 -ModifiedAvg!D50,1)))</f>
        <v>-9.6</v>
      </c>
      <c r="E50" s="24">
        <f> if( ModifiedAvg!E50 =0,0,  if( ModifiedAvg!E50 &gt;=36, ROUND((36-ModifiedAvg!E50)*0.75,1), round(36 -ModifiedAvg!E50,1)))</f>
        <v>-7.8</v>
      </c>
      <c r="F50" s="24">
        <f> if( ModifiedAvg!F50 =0,0,  if( ModifiedAvg!F50 &gt;=36, ROUND((36-ModifiedAvg!F50)* (0.75 + (count(Actuals!C50:F50)/18*0.15)),1), round(36 -ModifiedAvg!F50,1)))</f>
        <v>-8</v>
      </c>
      <c r="G50" s="24">
        <f> if( ModifiedAvg!G50 =0,0,  if( ModifiedAvg!G50 &gt;=36, ROUND((36-ModifiedAvg!G50)* (0.75 + (count(Actuals!$C50:G50)/18*0.15)),1), round(36 -ModifiedAvg!G50,1)))</f>
        <v>-8</v>
      </c>
      <c r="H50" s="24">
        <f> if( ModifiedAvg!H50 =0,0,  if( ModifiedAvg!H50 &gt;=36, ROUND((36-ModifiedAvg!H50)* (0.83),1), round(36 -ModifiedAvg!H50,1)))</f>
        <v>-8.6</v>
      </c>
      <c r="I50" s="24">
        <f> if( ModifiedAvg!I50 =0,0,  if( ModifiedAvg!I50 &gt;=36, ROUND((36-ModifiedAvg!I50)* (0.83),1), round(36 -ModifiedAvg!I50,1)))</f>
        <v>-8.6</v>
      </c>
      <c r="J50" s="24">
        <f> if( ModifiedAvg!J50 =0,0,  if( ModifiedAvg!J50 &gt;=36, ROUND((36-ModifiedAvg!J50)* (0.83),1), round(36 -ModifiedAvg!J50,1)))</f>
        <v>-8.6</v>
      </c>
      <c r="K50" s="24">
        <f> if( ModifiedAvg!K50 =0,0,  if( ModifiedAvg!K50 &gt;=36, ROUND((36-ModifiedAvg!K50)* (0.83),1), round(36 -ModifiedAvg!K50,1)))</f>
        <v>-8.6</v>
      </c>
      <c r="L50" s="24">
        <f> if( ModifiedAvg!L50 =0,0,  if( ModifiedAvg!L50 &gt;=36, ROUND((36-ModifiedAvg!L50)* (0.83),1), round(36 -ModifiedAvg!L50,1)))</f>
        <v>-8.6</v>
      </c>
      <c r="M50" s="24">
        <f> if( ModifiedAvg!M50 =0,0,  if( ModifiedAvg!M50 &gt;=36, ROUND((36-ModifiedAvg!M50)* (0.83),1), round(36 -ModifiedAvg!M50,1)))</f>
        <v>-8.6</v>
      </c>
      <c r="N50" s="24">
        <f> if( ModifiedAvg!N50 =0,0,  if( ModifiedAvg!N50 &gt;=36, ROUND((36-ModifiedAvg!N50)* (0.83),1), round(36 -ModifiedAvg!N50,1)))</f>
        <v>-8.6</v>
      </c>
      <c r="O50" s="24">
        <f> if( ModifiedAvg!O50 =0,0,  if( ModifiedAvg!O50 &gt;=36, ROUND((36-ModifiedAvg!O50)* (0.83),1), round(36 -ModifiedAvg!O50,1)))</f>
        <v>-8.6</v>
      </c>
      <c r="P50" s="24">
        <f> if( ModifiedAvg!P50 =0,0,  if( ModifiedAvg!P50 &gt;=36, ROUND((36-ModifiedAvg!P50)* (0.83),1), round(36 -ModifiedAvg!P50,1)))</f>
        <v>-8.6</v>
      </c>
      <c r="Q50" s="24">
        <f> if( ModifiedAvg!Q50 =0,0,  if( ModifiedAvg!Q50 &gt;=36, ROUND((36-ModifiedAvg!Q50)* (0.83),1), round(36 -ModifiedAvg!Q50,1)))</f>
        <v>-8.6</v>
      </c>
      <c r="R50" s="24">
        <f> if( ModifiedAvg!R50 =0,0,  if( ModifiedAvg!R50 &gt;=36, ROUND((36-ModifiedAvg!R50)* (0.75 + (count(Actuals!$C50:R50)/18*0.15)),1), round((36 -ModifiedAvg!R50)/2,1)))</f>
        <v>0</v>
      </c>
    </row>
    <row r="51">
      <c r="A51" s="13" t="str">
        <f>Actuals!B51</f>
        <v>Davis</v>
      </c>
      <c r="B51" s="24">
        <f> if( ModifiedAvg!B51 =0,0,  if( ModifiedAvg!B51 &gt;=$B$2, ROUND(($B$2-ModifiedAvg!B51)* (0.75 + (count(Actuals!B51:$C51)/18*0.15)),1), round($B$2 -ModifiedAvg!B51,1)))</f>
        <v>-6.2</v>
      </c>
      <c r="C51" s="24">
        <f> if( ModifiedAvg!C51 =0,0,  if( ModifiedAvg!C51 &gt;=$C$2, ROUND(($C$2-ModifiedAvg!C51)* (0.75 + (count(Actuals!C51:$C51)/18*0.15)),1), round($C$2 -ModifiedAvg!C51,1)))</f>
        <v>-5.4</v>
      </c>
      <c r="D51" s="24">
        <f> if( ModifiedAvg!D51 =0,0,  if( ModifiedAvg!D51 &gt;=$D$2, ROUND(($D$2-ModifiedAvg!D51)*0.75,1), round($D$2 -ModifiedAvg!D51,1)))</f>
        <v>-6.2</v>
      </c>
      <c r="E51" s="24">
        <f> if( ModifiedAvg!E51 =0,0,  if( ModifiedAvg!E51 &gt;=36, ROUND((36-ModifiedAvg!E51)*0.75,1), round(36 -ModifiedAvg!E51,1)))</f>
        <v>-4.7</v>
      </c>
      <c r="F51" s="24">
        <f> if( ModifiedAvg!F51 =0,0,  if( ModifiedAvg!F51 &gt;=36, ROUND((36-ModifiedAvg!F51)* (0.75 + (count(Actuals!C51:F51)/18*0.15)),1), round(36 -ModifiedAvg!F51,1)))</f>
        <v>-4.7</v>
      </c>
      <c r="G51" s="24">
        <f> if( ModifiedAvg!G51 =0,0,  if( ModifiedAvg!G51 &gt;=36, ROUND((36-ModifiedAvg!G51)* (0.75 + (count(Actuals!$C51:G51)/18*0.15)),1), round(36 -ModifiedAvg!G51,1)))</f>
        <v>-4.7</v>
      </c>
      <c r="H51" s="24">
        <f> if( ModifiedAvg!H51 =0,0,  if( ModifiedAvg!H51 &gt;=36, ROUND((36-ModifiedAvg!H51)* (0.83),1), round(36 -ModifiedAvg!H51,1)))</f>
        <v>-5.1</v>
      </c>
      <c r="I51" s="24">
        <f> if( ModifiedAvg!I51 =0,0,  if( ModifiedAvg!I51 &gt;=36, ROUND((36-ModifiedAvg!I51)* (0.83),1), round(36 -ModifiedAvg!I51,1)))</f>
        <v>-5.1</v>
      </c>
      <c r="J51" s="24">
        <f> if( ModifiedAvg!J51 =0,0,  if( ModifiedAvg!J51 &gt;=36, ROUND((36-ModifiedAvg!J51)* (0.83),1), round(36 -ModifiedAvg!J51,1)))</f>
        <v>-5.1</v>
      </c>
      <c r="K51" s="24">
        <f> if( ModifiedAvg!K51 =0,0,  if( ModifiedAvg!K51 &gt;=36, ROUND((36-ModifiedAvg!K51)* (0.83),1), round(36 -ModifiedAvg!K51,1)))</f>
        <v>-5.1</v>
      </c>
      <c r="L51" s="24">
        <f> if( ModifiedAvg!L51 =0,0,  if( ModifiedAvg!L51 &gt;=36, ROUND((36-ModifiedAvg!L51)* (0.83),1), round(36 -ModifiedAvg!L51,1)))</f>
        <v>-5.1</v>
      </c>
      <c r="M51" s="24">
        <f> if( ModifiedAvg!M51 =0,0,  if( ModifiedAvg!M51 &gt;=36, ROUND((36-ModifiedAvg!M51)* (0.83),1), round(36 -ModifiedAvg!M51,1)))</f>
        <v>-5.1</v>
      </c>
      <c r="N51" s="24">
        <f> if( ModifiedAvg!N51 =0,0,  if( ModifiedAvg!N51 &gt;=36, ROUND((36-ModifiedAvg!N51)* (0.83),1), round(36 -ModifiedAvg!N51,1)))</f>
        <v>-5.1</v>
      </c>
      <c r="O51" s="24">
        <f> if( ModifiedAvg!O51 =0,0,  if( ModifiedAvg!O51 &gt;=36, ROUND((36-ModifiedAvg!O51)* (0.83),1), round(36 -ModifiedAvg!O51,1)))</f>
        <v>-5.1</v>
      </c>
      <c r="P51" s="24">
        <f> if( ModifiedAvg!P51 =0,0,  if( ModifiedAvg!P51 &gt;=36, ROUND((36-ModifiedAvg!P51)* (0.83),1), round(36 -ModifiedAvg!P51,1)))</f>
        <v>-5.1</v>
      </c>
      <c r="Q51" s="24">
        <f> if( ModifiedAvg!Q51 =0,0,  if( ModifiedAvg!Q51 &gt;=36, ROUND((36-ModifiedAvg!Q51)* (0.83),1), round(36 -ModifiedAvg!Q51,1)))</f>
        <v>-5.1</v>
      </c>
      <c r="R51" s="24">
        <f> if( ModifiedAvg!R51 =0,0,  if( ModifiedAvg!R51 &gt;=36, ROUND((36-ModifiedAvg!R51)* (0.75 + (count(Actuals!$C51:R51)/18*0.15)),1), round((36 -ModifiedAvg!R51)/2,1)))</f>
        <v>0</v>
      </c>
    </row>
    <row r="52">
      <c r="A52" s="13" t="str">
        <f>Actuals!B52</f>
        <v>Amanda C</v>
      </c>
      <c r="B52" s="24">
        <f> if( ModifiedAvg!B52 =0,0,  if( ModifiedAvg!B52 &gt;=$B$2, ROUND(($B$2-ModifiedAvg!B52)* (0.75 + (count(Actuals!B52:$C52)/18*0.15)),1), round($B$2 -ModifiedAvg!B52,1)))</f>
        <v>-8.3</v>
      </c>
      <c r="C52" s="24">
        <f> if( ModifiedAvg!C52 =0,0,  if( ModifiedAvg!C52 &gt;=$C$2, ROUND(($C$2-ModifiedAvg!C52)* (0.75 + (count(Actuals!C52:$C52)/18*0.15)),1), round($C$2 -ModifiedAvg!C52,1)))</f>
        <v>-7.5</v>
      </c>
      <c r="D52" s="24">
        <f> if( ModifiedAvg!D52 =0,0,  if( ModifiedAvg!D52 &gt;=$D$2, ROUND(($D$2-ModifiedAvg!D52)*0.75,1), round($D$2 -ModifiedAvg!D52,1)))</f>
        <v>-8.3</v>
      </c>
      <c r="E52" s="24">
        <f> if( ModifiedAvg!E52 =0,0,  if( ModifiedAvg!E52 &gt;=36, ROUND((36-ModifiedAvg!E52)*0.75,1), round(36 -ModifiedAvg!E52,1)))</f>
        <v>-6.8</v>
      </c>
      <c r="F52" s="24">
        <f> if( ModifiedAvg!F52 =0,0,  if( ModifiedAvg!F52 &gt;=36, ROUND((36-ModifiedAvg!F52)* (0.75 + (count(Actuals!C52:F52)/18*0.15)),1), round(36 -ModifiedAvg!F52,1)))</f>
        <v>-6.8</v>
      </c>
      <c r="G52" s="24">
        <f> if( ModifiedAvg!G52 =0,0,  if( ModifiedAvg!G52 &gt;=36, ROUND((36-ModifiedAvg!G52)* (0.75 + (count(Actuals!$C52:G52)/18*0.15)),1), round(36 -ModifiedAvg!G52,1)))</f>
        <v>-6.8</v>
      </c>
      <c r="H52" s="24">
        <f> if( ModifiedAvg!H52 =0,0,  if( ModifiedAvg!H52 &gt;=36, ROUND((36-ModifiedAvg!H52)* (0.83),1), round(36 -ModifiedAvg!H52,1)))</f>
        <v>-7.5</v>
      </c>
      <c r="I52" s="24">
        <f> if( ModifiedAvg!I52 =0,0,  if( ModifiedAvg!I52 &gt;=36, ROUND((36-ModifiedAvg!I52)* (0.83),1), round(36 -ModifiedAvg!I52,1)))</f>
        <v>-7.5</v>
      </c>
      <c r="J52" s="24">
        <f> if( ModifiedAvg!J52 =0,0,  if( ModifiedAvg!J52 &gt;=36, ROUND((36-ModifiedAvg!J52)* (0.83),1), round(36 -ModifiedAvg!J52,1)))</f>
        <v>-7.5</v>
      </c>
      <c r="K52" s="24">
        <f> if( ModifiedAvg!K52 =0,0,  if( ModifiedAvg!K52 &gt;=36, ROUND((36-ModifiedAvg!K52)* (0.83),1), round(36 -ModifiedAvg!K52,1)))</f>
        <v>-7.5</v>
      </c>
      <c r="L52" s="24">
        <f> if( ModifiedAvg!L52 =0,0,  if( ModifiedAvg!L52 &gt;=36, ROUND((36-ModifiedAvg!L52)* (0.83),1), round(36 -ModifiedAvg!L52,1)))</f>
        <v>-7.5</v>
      </c>
      <c r="M52" s="24">
        <f> if( ModifiedAvg!M52 =0,0,  if( ModifiedAvg!M52 &gt;=36, ROUND((36-ModifiedAvg!M52)* (0.83),1), round(36 -ModifiedAvg!M52,1)))</f>
        <v>-7.5</v>
      </c>
      <c r="N52" s="24">
        <f> if( ModifiedAvg!N52 =0,0,  if( ModifiedAvg!N52 &gt;=36, ROUND((36-ModifiedAvg!N52)* (0.83),1), round(36 -ModifiedAvg!N52,1)))</f>
        <v>-7.5</v>
      </c>
      <c r="O52" s="24">
        <f> if( ModifiedAvg!O52 =0,0,  if( ModifiedAvg!O52 &gt;=36, ROUND((36-ModifiedAvg!O52)* (0.83),1), round(36 -ModifiedAvg!O52,1)))</f>
        <v>-7.5</v>
      </c>
      <c r="P52" s="24">
        <f> if( ModifiedAvg!P52 =0,0,  if( ModifiedAvg!P52 &gt;=36, ROUND((36-ModifiedAvg!P52)* (0.83),1), round(36 -ModifiedAvg!P52,1)))</f>
        <v>-7.5</v>
      </c>
      <c r="Q52" s="24">
        <f> if( ModifiedAvg!Q52 =0,0,  if( ModifiedAvg!Q52 &gt;=36, ROUND((36-ModifiedAvg!Q52)* (0.83),1), round(36 -ModifiedAvg!Q52,1)))</f>
        <v>-7.5</v>
      </c>
      <c r="R52" s="24">
        <f> if( ModifiedAvg!R52 =0,0,  if( ModifiedAvg!R52 &gt;=36, ROUND((36-ModifiedAvg!R52)* (0.75 + (count(Actuals!$C52:R52)/18*0.15)),1), round((36 -ModifiedAvg!R52)/2,1)))</f>
        <v>0</v>
      </c>
    </row>
    <row r="53">
      <c r="A53" s="13" t="str">
        <f>Actuals!B53</f>
        <v>blank9</v>
      </c>
      <c r="B53" s="24">
        <f> if( ModifiedAvg!B53 =0,0,  if( ModifiedAvg!B53 &gt;=$B$2, ROUND(($B$2-ModifiedAvg!B53)* (0.75 + (count(Actuals!B53:$C53)/18*0.15)),1), round($B$2 -ModifiedAvg!B53,1)))</f>
        <v>-1.5</v>
      </c>
      <c r="C53" s="24">
        <f> if( ModifiedAvg!C53 =0,0,  if( ModifiedAvg!C53 &gt;=$C$2, ROUND(($C$2-ModifiedAvg!C53)* (0.75 + (count(Actuals!C53:$C53)/18*0.15)),1), round($C$2 -ModifiedAvg!C53,1)))</f>
        <v>-0.8</v>
      </c>
      <c r="D53" s="24">
        <f> if( ModifiedAvg!D53 =0,0,  if( ModifiedAvg!D53 &gt;=$D$2, ROUND(($D$2-ModifiedAvg!D53)*0.75,1), round($D$2 -ModifiedAvg!D53,1)))</f>
        <v>-1.5</v>
      </c>
      <c r="E53" s="24">
        <f> if( ModifiedAvg!E53 =0,0,  if( ModifiedAvg!E53 &gt;=36, ROUND((36-ModifiedAvg!E53)*0.75,1), round(36 -ModifiedAvg!E53,1)))</f>
        <v>0</v>
      </c>
      <c r="F53" s="24">
        <f> if( ModifiedAvg!F53 =0,0,  if( ModifiedAvg!F53 &gt;=36, ROUND((36-ModifiedAvg!F53)* (0.75 + (count(Actuals!C53:F53)/18*0.15)),1), round(36 -ModifiedAvg!F53,1)))</f>
        <v>0</v>
      </c>
      <c r="G53" s="24">
        <f> if( ModifiedAvg!G53 =0,0,  if( ModifiedAvg!G53 &gt;=36, ROUND((36-ModifiedAvg!G53)* (0.75 + (count(Actuals!$C53:G53)/18*0.15)),1), round(36 -ModifiedAvg!G53,1)))</f>
        <v>0</v>
      </c>
      <c r="H53" s="24">
        <f> if( ModifiedAvg!H53 =0,0,  if( ModifiedAvg!H53 &gt;=36, ROUND((36-ModifiedAvg!H53)* (0.83),1), round(36 -ModifiedAvg!H53,1)))</f>
        <v>0</v>
      </c>
      <c r="I53" s="24">
        <f> if( ModifiedAvg!I53 =0,0,  if( ModifiedAvg!I53 &gt;=36, ROUND((36-ModifiedAvg!I53)* (0.83),1), round(36 -ModifiedAvg!I53,1)))</f>
        <v>0</v>
      </c>
      <c r="J53" s="24">
        <f> if( ModifiedAvg!J53 =0,0,  if( ModifiedAvg!J53 &gt;=36, ROUND((36-ModifiedAvg!J53)* (0.83),1), round(36 -ModifiedAvg!J53,1)))</f>
        <v>0</v>
      </c>
      <c r="K53" s="24">
        <f> if( ModifiedAvg!K53 =0,0,  if( ModifiedAvg!K53 &gt;=36, ROUND((36-ModifiedAvg!K53)* (0.83),1), round(36 -ModifiedAvg!K53,1)))</f>
        <v>0</v>
      </c>
      <c r="L53" s="24">
        <f> if( ModifiedAvg!L53 =0,0,  if( ModifiedAvg!L53 &gt;=36, ROUND((36-ModifiedAvg!L53)* (0.83),1), round(36 -ModifiedAvg!L53,1)))</f>
        <v>0</v>
      </c>
      <c r="M53" s="24">
        <f> if( ModifiedAvg!M53 =0,0,  if( ModifiedAvg!M53 &gt;=36, ROUND((36-ModifiedAvg!M53)* (0.83),1), round(36 -ModifiedAvg!M53,1)))</f>
        <v>0</v>
      </c>
      <c r="N53" s="24">
        <f> if( ModifiedAvg!N53 =0,0,  if( ModifiedAvg!N53 &gt;=36, ROUND((36-ModifiedAvg!N53)* (0.83),1), round(36 -ModifiedAvg!N53,1)))</f>
        <v>0</v>
      </c>
      <c r="O53" s="24">
        <f> if( ModifiedAvg!O53 =0,0,  if( ModifiedAvg!O53 &gt;=36, ROUND((36-ModifiedAvg!O53)* (0.83),1), round(36 -ModifiedAvg!O53,1)))</f>
        <v>0</v>
      </c>
      <c r="P53" s="24">
        <f> if( ModifiedAvg!P53 =0,0,  if( ModifiedAvg!P53 &gt;=36, ROUND((36-ModifiedAvg!P53)* (0.83),1), round(36 -ModifiedAvg!P53,1)))</f>
        <v>0</v>
      </c>
      <c r="Q53" s="24">
        <f> if( ModifiedAvg!Q53 =0,0,  if( ModifiedAvg!Q53 &gt;=36, ROUND((36-ModifiedAvg!Q53)* (0.83),1), round(36 -ModifiedAvg!Q53,1)))</f>
        <v>0</v>
      </c>
      <c r="R53" s="24">
        <f> if( ModifiedAvg!R53 =0,0,  if( ModifiedAvg!R53 &gt;=36, ROUND((36-ModifiedAvg!R53)* (0.75 + (count(Actuals!$C53:R53)/18*0.15)),1), round((36 -ModifiedAvg!R53)/2,1)))</f>
        <v>0</v>
      </c>
    </row>
    <row r="54">
      <c r="A54" s="13" t="str">
        <f>Actuals!B54</f>
        <v>blank10</v>
      </c>
      <c r="B54" s="24">
        <f> if( ModifiedAvg!B54 =0,0,  if( ModifiedAvg!B54 &gt;=$B$2, ROUND(($B$2-ModifiedAvg!B54)* (0.75 + (count(Actuals!B54:$C54)/18*0.15)),1), round($B$2 -ModifiedAvg!B54,1)))</f>
        <v>-1.5</v>
      </c>
      <c r="C54" s="24">
        <f> if( ModifiedAvg!C54 =0,0,  if( ModifiedAvg!C54 &gt;=$C$2, ROUND(($C$2-ModifiedAvg!C54)* (0.75 + (count(Actuals!C54:$C54)/18*0.15)),1), round($C$2 -ModifiedAvg!C54,1)))</f>
        <v>-0.8</v>
      </c>
      <c r="D54" s="24">
        <f> if( ModifiedAvg!D54 =0,0,  if( ModifiedAvg!D54 &gt;=$D$2, ROUND(($D$2-ModifiedAvg!D54)*0.75,1), round($D$2 -ModifiedAvg!D54,1)))</f>
        <v>-1.5</v>
      </c>
      <c r="E54" s="24">
        <f> if( ModifiedAvg!E54 =0,0,  if( ModifiedAvg!E54 &gt;=36, ROUND((36-ModifiedAvg!E54)*0.75,1), round(36 -ModifiedAvg!E54,1)))</f>
        <v>0</v>
      </c>
      <c r="F54" s="24">
        <f> if( ModifiedAvg!F54 =0,0,  if( ModifiedAvg!F54 &gt;=36, ROUND((36-ModifiedAvg!F54)* (0.75 + (count(Actuals!C54:F54)/18*0.15)),1), round(36 -ModifiedAvg!F54,1)))</f>
        <v>0</v>
      </c>
      <c r="G54" s="24">
        <f> if( ModifiedAvg!G54 =0,0,  if( ModifiedAvg!G54 &gt;=36, ROUND((36-ModifiedAvg!G54)* (0.75 + (count(Actuals!$C54:G54)/18*0.15)),1), round(36 -ModifiedAvg!G54,1)))</f>
        <v>0</v>
      </c>
      <c r="H54" s="24">
        <f> if( ModifiedAvg!H54 =0,0,  if( ModifiedAvg!H54 &gt;=36, ROUND((36-ModifiedAvg!H54)* (0.83),1), round(36 -ModifiedAvg!H54,1)))</f>
        <v>0</v>
      </c>
      <c r="I54" s="24">
        <f> if( ModifiedAvg!I54 =0,0,  if( ModifiedAvg!I54 &gt;=36, ROUND((36-ModifiedAvg!I54)* (0.83),1), round(36 -ModifiedAvg!I54,1)))</f>
        <v>0</v>
      </c>
      <c r="J54" s="24">
        <f> if( ModifiedAvg!J54 =0,0,  if( ModifiedAvg!J54 &gt;=36, ROUND((36-ModifiedAvg!J54)* (0.83),1), round(36 -ModifiedAvg!J54,1)))</f>
        <v>0</v>
      </c>
      <c r="K54" s="24">
        <f> if( ModifiedAvg!K54 =0,0,  if( ModifiedAvg!K54 &gt;=36, ROUND((36-ModifiedAvg!K54)* (0.83),1), round(36 -ModifiedAvg!K54,1)))</f>
        <v>0</v>
      </c>
      <c r="L54" s="24">
        <f> if( ModifiedAvg!L54 =0,0,  if( ModifiedAvg!L54 &gt;=36, ROUND((36-ModifiedAvg!L54)* (0.83),1), round(36 -ModifiedAvg!L54,1)))</f>
        <v>0</v>
      </c>
      <c r="M54" s="24">
        <f> if( ModifiedAvg!M54 =0,0,  if( ModifiedAvg!M54 &gt;=36, ROUND((36-ModifiedAvg!M54)* (0.83),1), round(36 -ModifiedAvg!M54,1)))</f>
        <v>0</v>
      </c>
      <c r="N54" s="24">
        <f> if( ModifiedAvg!N54 =0,0,  if( ModifiedAvg!N54 &gt;=36, ROUND((36-ModifiedAvg!N54)* (0.83),1), round(36 -ModifiedAvg!N54,1)))</f>
        <v>0</v>
      </c>
      <c r="O54" s="24">
        <f> if( ModifiedAvg!O54 =0,0,  if( ModifiedAvg!O54 &gt;=36, ROUND((36-ModifiedAvg!O54)* (0.83),1), round(36 -ModifiedAvg!O54,1)))</f>
        <v>0</v>
      </c>
      <c r="P54" s="24">
        <f> if( ModifiedAvg!P54 =0,0,  if( ModifiedAvg!P54 &gt;=36, ROUND((36-ModifiedAvg!P54)* (0.83),1), round(36 -ModifiedAvg!P54,1)))</f>
        <v>0</v>
      </c>
      <c r="Q54" s="24">
        <f> if( ModifiedAvg!Q54 =0,0,  if( ModifiedAvg!Q54 &gt;=36, ROUND((36-ModifiedAvg!Q54)* (0.83),1), round(36 -ModifiedAvg!Q54,1)))</f>
        <v>0</v>
      </c>
      <c r="R54" s="24">
        <f> if( ModifiedAvg!R54 =0,0,  if( ModifiedAvg!R54 &gt;=36, ROUND((36-ModifiedAvg!R54)* (0.75 + (count(Actuals!$C54:R54)/18*0.15)),1), round((36 -ModifiedAvg!R54)/2,1)))</f>
        <v>0</v>
      </c>
    </row>
    <row r="55">
      <c r="A55" s="13" t="str">
        <f>Actuals!B55</f>
        <v>blank11</v>
      </c>
      <c r="B55" s="24">
        <f> if( ModifiedAvg!B55 =0,0,  if( ModifiedAvg!B55 &gt;=$B$2, ROUND(($B$2-ModifiedAvg!B55)* (0.75 + (count(Actuals!B55:$C55)/18*0.15)),1), round($B$2 -ModifiedAvg!B55,1)))</f>
        <v>-1.5</v>
      </c>
      <c r="C55" s="24">
        <f> if( ModifiedAvg!C55 =0,0,  if( ModifiedAvg!C55 &gt;=$C$2, ROUND(($C$2-ModifiedAvg!C55)* (0.75 + (count(Actuals!C55:$C55)/18*0.15)),1), round($C$2 -ModifiedAvg!C55,1)))</f>
        <v>-0.8</v>
      </c>
      <c r="D55" s="24">
        <f> if( ModifiedAvg!D55 =0,0,  if( ModifiedAvg!D55 &gt;=$D$2, ROUND(($D$2-ModifiedAvg!D55)*0.75,1), round($D$2 -ModifiedAvg!D55,1)))</f>
        <v>-1.5</v>
      </c>
      <c r="E55" s="24">
        <f> if( ModifiedAvg!E55 =0,0,  if( ModifiedAvg!E55 &gt;=36, ROUND((36-ModifiedAvg!E55)*0.75,1), round(36 -ModifiedAvg!E55,1)))</f>
        <v>0</v>
      </c>
      <c r="F55" s="24">
        <f> if( ModifiedAvg!F55 =0,0,  if( ModifiedAvg!F55 &gt;=36, ROUND((36-ModifiedAvg!F55)* (0.75 + (count(Actuals!C55:F55)/18*0.15)),1), round(36 -ModifiedAvg!F55,1)))</f>
        <v>0</v>
      </c>
      <c r="G55" s="24">
        <f> if( ModifiedAvg!G55 =0,0,  if( ModifiedAvg!G55 &gt;=36, ROUND((36-ModifiedAvg!G55)* (0.75 + (count(Actuals!$C55:G55)/18*0.15)),1), round(36 -ModifiedAvg!G55,1)))</f>
        <v>0</v>
      </c>
      <c r="H55" s="24">
        <f> if( ModifiedAvg!H55 =0,0,  if( ModifiedAvg!H55 &gt;=36, ROUND((36-ModifiedAvg!H55)* (0.83),1), round(36 -ModifiedAvg!H55,1)))</f>
        <v>0</v>
      </c>
      <c r="I55" s="24">
        <f> if( ModifiedAvg!I55 =0,0,  if( ModifiedAvg!I55 &gt;=36, ROUND((36-ModifiedAvg!I55)* (0.83),1), round(36 -ModifiedAvg!I55,1)))</f>
        <v>0</v>
      </c>
      <c r="J55" s="24">
        <f> if( ModifiedAvg!J55 =0,0,  if( ModifiedAvg!J55 &gt;=36, ROUND((36-ModifiedAvg!J55)* (0.83),1), round(36 -ModifiedAvg!J55,1)))</f>
        <v>0</v>
      </c>
      <c r="K55" s="24">
        <f> if( ModifiedAvg!K55 =0,0,  if( ModifiedAvg!K55 &gt;=36, ROUND((36-ModifiedAvg!K55)* (0.83),1), round(36 -ModifiedAvg!K55,1)))</f>
        <v>0</v>
      </c>
      <c r="L55" s="24">
        <f> if( ModifiedAvg!L55 =0,0,  if( ModifiedAvg!L55 &gt;=36, ROUND((36-ModifiedAvg!L55)* (0.83),1), round(36 -ModifiedAvg!L55,1)))</f>
        <v>0</v>
      </c>
      <c r="M55" s="24">
        <f> if( ModifiedAvg!M55 =0,0,  if( ModifiedAvg!M55 &gt;=36, ROUND((36-ModifiedAvg!M55)* (0.83),1), round(36 -ModifiedAvg!M55,1)))</f>
        <v>0</v>
      </c>
      <c r="N55" s="24">
        <f> if( ModifiedAvg!N55 =0,0,  if( ModifiedAvg!N55 &gt;=36, ROUND((36-ModifiedAvg!N55)* (0.83),1), round(36 -ModifiedAvg!N55,1)))</f>
        <v>0</v>
      </c>
      <c r="O55" s="24">
        <f> if( ModifiedAvg!O55 =0,0,  if( ModifiedAvg!O55 &gt;=36, ROUND((36-ModifiedAvg!O55)* (0.83),1), round(36 -ModifiedAvg!O55,1)))</f>
        <v>0</v>
      </c>
      <c r="P55" s="24">
        <f> if( ModifiedAvg!P55 =0,0,  if( ModifiedAvg!P55 &gt;=36, ROUND((36-ModifiedAvg!P55)* (0.83),1), round(36 -ModifiedAvg!P55,1)))</f>
        <v>0</v>
      </c>
      <c r="Q55" s="24">
        <f> if( ModifiedAvg!Q55 =0,0,  if( ModifiedAvg!Q55 &gt;=36, ROUND((36-ModifiedAvg!Q55)* (0.83),1), round(36 -ModifiedAvg!Q55,1)))</f>
        <v>0</v>
      </c>
      <c r="R55" s="24">
        <f> if( ModifiedAvg!R55 =0,0,  if( ModifiedAvg!R55 &gt;=36, ROUND((36-ModifiedAvg!R55)* (0.75 + (count(Actuals!$C55:R55)/18*0.15)),1), round((36 -ModifiedAvg!R55)/2,1)))</f>
        <v>0</v>
      </c>
    </row>
    <row r="56">
      <c r="A56" s="13" t="str">
        <f>Actuals!B56</f>
        <v>blank12</v>
      </c>
      <c r="B56" s="24">
        <f> if( ModifiedAvg!B56 =0,0,  if( ModifiedAvg!B56 &gt;=$B$2, ROUND(($B$2-ModifiedAvg!B56)* (0.75 + (count(Actuals!B56:$C56)/18*0.15)),1), round($B$2 -ModifiedAvg!B56,1)))</f>
        <v>-1.5</v>
      </c>
      <c r="C56" s="24">
        <f> if( ModifiedAvg!C56 =0,0,  if( ModifiedAvg!C56 &gt;=$C$2, ROUND(($C$2-ModifiedAvg!C56)* (0.75 + (count(Actuals!C56:$C56)/18*0.15)),1), round($C$2 -ModifiedAvg!C56,1)))</f>
        <v>-0.8</v>
      </c>
      <c r="D56" s="24">
        <f> if( ModifiedAvg!D56 =0,0,  if( ModifiedAvg!D56 &gt;=$D$2, ROUND(($D$2-ModifiedAvg!D56)*0.75,1), round($D$2 -ModifiedAvg!D56,1)))</f>
        <v>-1.5</v>
      </c>
      <c r="E56" s="24">
        <f> if( ModifiedAvg!E56 =0,0,  if( ModifiedAvg!E56 &gt;=36, ROUND((36-ModifiedAvg!E56)*0.75,1), round(36 -ModifiedAvg!E56,1)))</f>
        <v>0</v>
      </c>
      <c r="F56" s="24">
        <f> if( ModifiedAvg!F56 =0,0,  if( ModifiedAvg!F56 &gt;=36, ROUND((36-ModifiedAvg!F56)* (0.75 + (count(Actuals!C56:F56)/18*0.15)),1), round(36 -ModifiedAvg!F56,1)))</f>
        <v>0</v>
      </c>
      <c r="G56" s="24">
        <f> if( ModifiedAvg!G56 =0,0,  if( ModifiedAvg!G56 &gt;=36, ROUND((36-ModifiedAvg!G56)* (0.75 + (count(Actuals!$C56:G56)/18*0.15)),1), round(36 -ModifiedAvg!G56,1)))</f>
        <v>0</v>
      </c>
      <c r="H56" s="24">
        <f> if( ModifiedAvg!H56 =0,0,  if( ModifiedAvg!H56 &gt;=36, ROUND((36-ModifiedAvg!H56)* (0.83),1), round(36 -ModifiedAvg!H56,1)))</f>
        <v>0</v>
      </c>
      <c r="I56" s="24">
        <f> if( ModifiedAvg!I56 =0,0,  if( ModifiedAvg!I56 &gt;=36, ROUND((36-ModifiedAvg!I56)* (0.83),1), round(36 -ModifiedAvg!I56,1)))</f>
        <v>0</v>
      </c>
      <c r="J56" s="24">
        <f> if( ModifiedAvg!J56 =0,0,  if( ModifiedAvg!J56 &gt;=36, ROUND((36-ModifiedAvg!J56)* (0.83),1), round(36 -ModifiedAvg!J56,1)))</f>
        <v>0</v>
      </c>
      <c r="K56" s="24">
        <f> if( ModifiedAvg!K56 =0,0,  if( ModifiedAvg!K56 &gt;=36, ROUND((36-ModifiedAvg!K56)* (0.83),1), round(36 -ModifiedAvg!K56,1)))</f>
        <v>0</v>
      </c>
      <c r="L56" s="24">
        <f> if( ModifiedAvg!L56 =0,0,  if( ModifiedAvg!L56 &gt;=36, ROUND((36-ModifiedAvg!L56)* (0.83),1), round(36 -ModifiedAvg!L56,1)))</f>
        <v>0</v>
      </c>
      <c r="M56" s="24">
        <f> if( ModifiedAvg!M56 =0,0,  if( ModifiedAvg!M56 &gt;=36, ROUND((36-ModifiedAvg!M56)* (0.83),1), round(36 -ModifiedAvg!M56,1)))</f>
        <v>0</v>
      </c>
      <c r="N56" s="24">
        <f> if( ModifiedAvg!N56 =0,0,  if( ModifiedAvg!N56 &gt;=36, ROUND((36-ModifiedAvg!N56)* (0.83),1), round(36 -ModifiedAvg!N56,1)))</f>
        <v>0</v>
      </c>
      <c r="O56" s="24">
        <f> if( ModifiedAvg!O56 =0,0,  if( ModifiedAvg!O56 &gt;=36, ROUND((36-ModifiedAvg!O56)* (0.83),1), round(36 -ModifiedAvg!O56,1)))</f>
        <v>0</v>
      </c>
      <c r="P56" s="24">
        <f> if( ModifiedAvg!P56 =0,0,  if( ModifiedAvg!P56 &gt;=36, ROUND((36-ModifiedAvg!P56)* (0.83),1), round(36 -ModifiedAvg!P56,1)))</f>
        <v>0</v>
      </c>
      <c r="Q56" s="24">
        <f> if( ModifiedAvg!Q56 =0,0,  if( ModifiedAvg!Q56 &gt;=36, ROUND((36-ModifiedAvg!Q56)* (0.83),1), round(36 -ModifiedAvg!Q56,1)))</f>
        <v>0</v>
      </c>
      <c r="R56" s="24">
        <f> if( ModifiedAvg!R56 =0,0,  if( ModifiedAvg!R56 &gt;=36, ROUND((36-ModifiedAvg!R56)* (0.75 + (count(Actuals!$C56:R56)/18*0.15)),1), round((36 -ModifiedAvg!R56)/2,1)))</f>
        <v>0</v>
      </c>
    </row>
    <row r="57">
      <c r="A57" s="13" t="str">
        <f>Actuals!B57</f>
        <v>blank13</v>
      </c>
      <c r="B57" s="24">
        <f> if( ModifiedAvg!B57 =0,0,  if( ModifiedAvg!B57 &gt;=$B$2, ROUND(($B$2-ModifiedAvg!B57)* (0.75 + (count(Actuals!B57:$C57)/18*0.15)),1), round($B$2 -ModifiedAvg!B57,1)))</f>
        <v>-1.5</v>
      </c>
      <c r="C57" s="24">
        <f> if( ModifiedAvg!C57 =0,0,  if( ModifiedAvg!C57 &gt;=$C$2, ROUND(($C$2-ModifiedAvg!C57)* (0.75 + (count(Actuals!C57:$C57)/18*0.15)),1), round($C$2 -ModifiedAvg!C57,1)))</f>
        <v>-0.8</v>
      </c>
      <c r="D57" s="24">
        <f> if( ModifiedAvg!D57 =0,0,  if( ModifiedAvg!D57 &gt;=$D$2, ROUND(($D$2-ModifiedAvg!D57)*0.75,1), round($D$2 -ModifiedAvg!D57,1)))</f>
        <v>-1.5</v>
      </c>
      <c r="E57" s="24">
        <f> if( ModifiedAvg!E57 =0,0,  if( ModifiedAvg!E57 &gt;=36, ROUND((36-ModifiedAvg!E57)*0.75,1), round(36 -ModifiedAvg!E57,1)))</f>
        <v>0</v>
      </c>
      <c r="F57" s="24">
        <f> if( ModifiedAvg!F57 =0,0,  if( ModifiedAvg!F57 &gt;=36, ROUND((36-ModifiedAvg!F57)* (0.75 + (count(Actuals!C57:F57)/18*0.15)),1), round(36 -ModifiedAvg!F57,1)))</f>
        <v>0</v>
      </c>
      <c r="G57" s="24">
        <f> if( ModifiedAvg!G57 =0,0,  if( ModifiedAvg!G57 &gt;=36, ROUND((36-ModifiedAvg!G57)* (0.75 + (count(Actuals!$C57:G57)/18*0.15)),1), round(36 -ModifiedAvg!G57,1)))</f>
        <v>0</v>
      </c>
      <c r="H57" s="24">
        <f> if( ModifiedAvg!H57 =0,0,  if( ModifiedAvg!H57 &gt;=36, ROUND((36-ModifiedAvg!H57)* (0.83),1), round(36 -ModifiedAvg!H57,1)))</f>
        <v>0</v>
      </c>
      <c r="I57" s="24">
        <f> if( ModifiedAvg!I57 =0,0,  if( ModifiedAvg!I57 &gt;=36, ROUND((36-ModifiedAvg!I57)* (0.83),1), round(36 -ModifiedAvg!I57,1)))</f>
        <v>0</v>
      </c>
      <c r="J57" s="24">
        <f> if( ModifiedAvg!J57 =0,0,  if( ModifiedAvg!J57 &gt;=36, ROUND((36-ModifiedAvg!J57)* (0.83),1), round(36 -ModifiedAvg!J57,1)))</f>
        <v>0</v>
      </c>
      <c r="K57" s="24">
        <f> if( ModifiedAvg!K57 =0,0,  if( ModifiedAvg!K57 &gt;=36, ROUND((36-ModifiedAvg!K57)* (0.83),1), round(36 -ModifiedAvg!K57,1)))</f>
        <v>0</v>
      </c>
      <c r="L57" s="24">
        <f> if( ModifiedAvg!L57 =0,0,  if( ModifiedAvg!L57 &gt;=36, ROUND((36-ModifiedAvg!L57)* (0.83),1), round(36 -ModifiedAvg!L57,1)))</f>
        <v>0</v>
      </c>
      <c r="M57" s="24">
        <f> if( ModifiedAvg!M57 =0,0,  if( ModifiedAvg!M57 &gt;=36, ROUND((36-ModifiedAvg!M57)* (0.83),1), round(36 -ModifiedAvg!M57,1)))</f>
        <v>0</v>
      </c>
      <c r="N57" s="24">
        <f> if( ModifiedAvg!N57 =0,0,  if( ModifiedAvg!N57 &gt;=36, ROUND((36-ModifiedAvg!N57)* (0.83),1), round(36 -ModifiedAvg!N57,1)))</f>
        <v>0</v>
      </c>
      <c r="O57" s="24">
        <f> if( ModifiedAvg!O57 =0,0,  if( ModifiedAvg!O57 &gt;=36, ROUND((36-ModifiedAvg!O57)* (0.83),1), round(36 -ModifiedAvg!O57,1)))</f>
        <v>0</v>
      </c>
      <c r="P57" s="24">
        <f> if( ModifiedAvg!P57 =0,0,  if( ModifiedAvg!P57 &gt;=36, ROUND((36-ModifiedAvg!P57)* (0.83),1), round(36 -ModifiedAvg!P57,1)))</f>
        <v>0</v>
      </c>
      <c r="Q57" s="24">
        <f> if( ModifiedAvg!Q57 =0,0,  if( ModifiedAvg!Q57 &gt;=36, ROUND((36-ModifiedAvg!Q57)* (0.83),1), round(36 -ModifiedAvg!Q57,1)))</f>
        <v>0</v>
      </c>
      <c r="R57" s="24">
        <f> if( ModifiedAvg!R57 =0,0,  if( ModifiedAvg!R57 &gt;=36, ROUND((36-ModifiedAvg!R57)* (0.75 + (count(Actuals!$C57:R57)/18*0.15)),1), round((36 -ModifiedAvg!R57)/2,1)))</f>
        <v>0</v>
      </c>
    </row>
    <row r="58">
      <c r="A58" s="13" t="str">
        <f>Actuals!B58</f>
        <v>blank14</v>
      </c>
      <c r="B58" s="24">
        <f> if( ModifiedAvg!B58 =0,0,  if( ModifiedAvg!B58 &gt;=$B$2, ROUND(($B$2-ModifiedAvg!B58)* (0.75 + (count(Actuals!B58:$C58)/18*0.15)),1), round($B$2 -ModifiedAvg!B58,1)))</f>
        <v>-1.5</v>
      </c>
      <c r="C58" s="24">
        <f> if( ModifiedAvg!C58 =0,0,  if( ModifiedAvg!C58 &gt;=$C$2, ROUND(($C$2-ModifiedAvg!C58)* (0.75 + (count(Actuals!C58:$C58)/18*0.15)),1), round($C$2 -ModifiedAvg!C58,1)))</f>
        <v>-0.8</v>
      </c>
      <c r="D58" s="24">
        <f> if( ModifiedAvg!D58 =0,0,  if( ModifiedAvg!D58 &gt;=$D$2, ROUND(($D$2-ModifiedAvg!D58)*0.75,1), round($D$2 -ModifiedAvg!D58,1)))</f>
        <v>-1.5</v>
      </c>
      <c r="E58" s="24">
        <f> if( ModifiedAvg!E58 =0,0,  if( ModifiedAvg!E58 &gt;=36, ROUND((36-ModifiedAvg!E58)*0.75,1), round(36 -ModifiedAvg!E58,1)))</f>
        <v>0</v>
      </c>
      <c r="F58" s="24">
        <f> if( ModifiedAvg!F58 =0,0,  if( ModifiedAvg!F58 &gt;=36, ROUND((36-ModifiedAvg!F58)* (0.75 + (count(Actuals!C58:F58)/18*0.15)),1), round(36 -ModifiedAvg!F58,1)))</f>
        <v>0</v>
      </c>
      <c r="G58" s="24">
        <f> if( ModifiedAvg!G58 =0,0,  if( ModifiedAvg!G58 &gt;=36, ROUND((36-ModifiedAvg!G58)* (0.75 + (count(Actuals!$C58:G58)/18*0.15)),1), round(36 -ModifiedAvg!G58,1)))</f>
        <v>0</v>
      </c>
      <c r="H58" s="24">
        <f> if( ModifiedAvg!H58 =0,0,  if( ModifiedAvg!H58 &gt;=36, ROUND((36-ModifiedAvg!H58)* (0.83),1), round(36 -ModifiedAvg!H58,1)))</f>
        <v>0</v>
      </c>
      <c r="I58" s="24">
        <f> if( ModifiedAvg!I58 =0,0,  if( ModifiedAvg!I58 &gt;=36, ROUND((36-ModifiedAvg!I58)* (0.83),1), round(36 -ModifiedAvg!I58,1)))</f>
        <v>0</v>
      </c>
      <c r="J58" s="24">
        <f> if( ModifiedAvg!J58 =0,0,  if( ModifiedAvg!J58 &gt;=36, ROUND((36-ModifiedAvg!J58)* (0.83),1), round(36 -ModifiedAvg!J58,1)))</f>
        <v>0</v>
      </c>
      <c r="K58" s="24">
        <f> if( ModifiedAvg!K58 =0,0,  if( ModifiedAvg!K58 &gt;=36, ROUND((36-ModifiedAvg!K58)* (0.83),1), round(36 -ModifiedAvg!K58,1)))</f>
        <v>0</v>
      </c>
      <c r="L58" s="24">
        <f> if( ModifiedAvg!L58 =0,0,  if( ModifiedAvg!L58 &gt;=36, ROUND((36-ModifiedAvg!L58)* (0.83),1), round(36 -ModifiedAvg!L58,1)))</f>
        <v>0</v>
      </c>
      <c r="M58" s="24">
        <f> if( ModifiedAvg!M58 =0,0,  if( ModifiedAvg!M58 &gt;=36, ROUND((36-ModifiedAvg!M58)* (0.83),1), round(36 -ModifiedAvg!M58,1)))</f>
        <v>0</v>
      </c>
      <c r="N58" s="24">
        <f> if( ModifiedAvg!N58 =0,0,  if( ModifiedAvg!N58 &gt;=36, ROUND((36-ModifiedAvg!N58)* (0.83),1), round(36 -ModifiedAvg!N58,1)))</f>
        <v>0</v>
      </c>
      <c r="O58" s="24">
        <f> if( ModifiedAvg!O58 =0,0,  if( ModifiedAvg!O58 &gt;=36, ROUND((36-ModifiedAvg!O58)* (0.83),1), round(36 -ModifiedAvg!O58,1)))</f>
        <v>0</v>
      </c>
      <c r="P58" s="24">
        <f> if( ModifiedAvg!P58 =0,0,  if( ModifiedAvg!P58 &gt;=36, ROUND((36-ModifiedAvg!P58)* (0.83),1), round(36 -ModifiedAvg!P58,1)))</f>
        <v>0</v>
      </c>
      <c r="Q58" s="24">
        <f> if( ModifiedAvg!Q58 =0,0,  if( ModifiedAvg!Q58 &gt;=36, ROUND((36-ModifiedAvg!Q58)* (0.83),1), round(36 -ModifiedAvg!Q58,1)))</f>
        <v>0</v>
      </c>
      <c r="R58" s="24">
        <f> if( ModifiedAvg!R58 =0,0,  if( ModifiedAvg!R58 &gt;=36, ROUND((36-ModifiedAvg!R58)* (0.75 + (count(Actuals!$C58:R58)/18*0.15)),1), round((36 -ModifiedAvg!R58)/2,1)))</f>
        <v>0</v>
      </c>
    </row>
    <row r="59">
      <c r="A59" s="13" t="str">
        <f>Actuals!B59</f>
        <v>blank15</v>
      </c>
      <c r="B59" s="24">
        <f> if( ModifiedAvg!B59 =0,0,  if( ModifiedAvg!B59 &gt;=$B$2, ROUND(($B$2-ModifiedAvg!B59)* (0.75 + (count(Actuals!B59:$C59)/18*0.15)),1), round($B$2 -ModifiedAvg!B59,1)))</f>
        <v>-1.5</v>
      </c>
      <c r="C59" s="24">
        <f> if( ModifiedAvg!C59 =0,0,  if( ModifiedAvg!C59 &gt;=$C$2, ROUND(($C$2-ModifiedAvg!C59)* (0.75 + (count(Actuals!C59:$C59)/18*0.15)),1), round($C$2 -ModifiedAvg!C59,1)))</f>
        <v>-0.8</v>
      </c>
      <c r="D59" s="24">
        <f> if( ModifiedAvg!D59 =0,0,  if( ModifiedAvg!D59 &gt;=$D$2, ROUND(($D$2-ModifiedAvg!D59)*0.75,1), round($D$2 -ModifiedAvg!D59,1)))</f>
        <v>-1.5</v>
      </c>
      <c r="E59" s="24">
        <f> if( ModifiedAvg!E59 =0,0,  if( ModifiedAvg!E59 &gt;=36, ROUND((36-ModifiedAvg!E59)*0.75,1), round(36 -ModifiedAvg!E59,1)))</f>
        <v>0</v>
      </c>
      <c r="F59" s="24">
        <f> if( ModifiedAvg!F59 =0,0,  if( ModifiedAvg!F59 &gt;=36, ROUND((36-ModifiedAvg!F59)* (0.75 + (count(Actuals!C59:F59)/18*0.15)),1), round(36 -ModifiedAvg!F59,1)))</f>
        <v>0</v>
      </c>
      <c r="G59" s="24">
        <f> if( ModifiedAvg!G59 =0,0,  if( ModifiedAvg!G59 &gt;=36, ROUND((36-ModifiedAvg!G59)* (0.75 + (count(Actuals!$C59:G59)/18*0.15)),1), round(36 -ModifiedAvg!G59,1)))</f>
        <v>0</v>
      </c>
      <c r="H59" s="24">
        <f> if( ModifiedAvg!H59 =0,0,  if( ModifiedAvg!H59 &gt;=36, ROUND((36-ModifiedAvg!H59)* (0.83),1), round(36 -ModifiedAvg!H59,1)))</f>
        <v>0</v>
      </c>
      <c r="I59" s="24">
        <f> if( ModifiedAvg!I59 =0,0,  if( ModifiedAvg!I59 &gt;=36, ROUND((36-ModifiedAvg!I59)* (0.83),1), round(36 -ModifiedAvg!I59,1)))</f>
        <v>0</v>
      </c>
      <c r="J59" s="24">
        <f> if( ModifiedAvg!J59 =0,0,  if( ModifiedAvg!J59 &gt;=36, ROUND((36-ModifiedAvg!J59)* (0.83),1), round(36 -ModifiedAvg!J59,1)))</f>
        <v>0</v>
      </c>
      <c r="K59" s="24">
        <f> if( ModifiedAvg!K59 =0,0,  if( ModifiedAvg!K59 &gt;=36, ROUND((36-ModifiedAvg!K59)* (0.83),1), round(36 -ModifiedAvg!K59,1)))</f>
        <v>0</v>
      </c>
      <c r="L59" s="24">
        <f> if( ModifiedAvg!L59 =0,0,  if( ModifiedAvg!L59 &gt;=36, ROUND((36-ModifiedAvg!L59)* (0.83),1), round(36 -ModifiedAvg!L59,1)))</f>
        <v>0</v>
      </c>
      <c r="M59" s="24">
        <f> if( ModifiedAvg!M59 =0,0,  if( ModifiedAvg!M59 &gt;=36, ROUND((36-ModifiedAvg!M59)* (0.83),1), round(36 -ModifiedAvg!M59,1)))</f>
        <v>0</v>
      </c>
      <c r="N59" s="24">
        <f> if( ModifiedAvg!N59 =0,0,  if( ModifiedAvg!N59 &gt;=36, ROUND((36-ModifiedAvg!N59)* (0.83),1), round(36 -ModifiedAvg!N59,1)))</f>
        <v>0</v>
      </c>
      <c r="O59" s="24">
        <f> if( ModifiedAvg!O59 =0,0,  if( ModifiedAvg!O59 &gt;=36, ROUND((36-ModifiedAvg!O59)* (0.83),1), round(36 -ModifiedAvg!O59,1)))</f>
        <v>0</v>
      </c>
      <c r="P59" s="24">
        <f> if( ModifiedAvg!P59 =0,0,  if( ModifiedAvg!P59 &gt;=36, ROUND((36-ModifiedAvg!P59)* (0.83),1), round(36 -ModifiedAvg!P59,1)))</f>
        <v>0</v>
      </c>
      <c r="Q59" s="24">
        <f> if( ModifiedAvg!Q59 =0,0,  if( ModifiedAvg!Q59 &gt;=36, ROUND((36-ModifiedAvg!Q59)* (0.83),1), round(36 -ModifiedAvg!Q59,1)))</f>
        <v>0</v>
      </c>
      <c r="R59" s="24">
        <f> if( ModifiedAvg!R59 =0,0,  if( ModifiedAvg!R59 &gt;=36, ROUND((36-ModifiedAvg!R59)* (0.75 + (count(Actuals!$C59:R59)/18*0.15)),1), round((36 -ModifiedAvg!R59)/2,1)))</f>
        <v>0</v>
      </c>
    </row>
    <row r="60">
      <c r="A60" s="13" t="str">
        <f>Actuals!B60</f>
        <v>blank16</v>
      </c>
      <c r="B60" s="24">
        <f> if( ModifiedAvg!B60 =0,0,  if( ModifiedAvg!B60 &gt;=$B$2, ROUND(($B$2-ModifiedAvg!B60)* (0.75 + (count(Actuals!B60:$C60)/18*0.15)),1), round($B$2 -ModifiedAvg!B60,1)))</f>
        <v>-1.5</v>
      </c>
      <c r="C60" s="24">
        <f> if( ModifiedAvg!C60 =0,0,  if( ModifiedAvg!C60 &gt;=$C$2, ROUND(($C$2-ModifiedAvg!C60)* (0.75 + (count(Actuals!C60:$C60)/18*0.15)),1), round($C$2 -ModifiedAvg!C60,1)))</f>
        <v>-0.8</v>
      </c>
      <c r="D60" s="24">
        <f> if( ModifiedAvg!D60 =0,0,  if( ModifiedAvg!D60 &gt;=$D$2, ROUND(($D$2-ModifiedAvg!D60)*0.75,1), round($D$2 -ModifiedAvg!D60,1)))</f>
        <v>-1.5</v>
      </c>
      <c r="E60" s="24">
        <f> if( ModifiedAvg!E60 =0,0,  if( ModifiedAvg!E60 &gt;=36, ROUND((36-ModifiedAvg!E60)*0.75,1), round(36 -ModifiedAvg!E60,1)))</f>
        <v>0</v>
      </c>
      <c r="F60" s="24">
        <f> if( ModifiedAvg!F60 =0,0,  if( ModifiedAvg!F60 &gt;=36, ROUND((36-ModifiedAvg!F60)* (0.75 + (count(Actuals!C60:F60)/18*0.15)),1), round(36 -ModifiedAvg!F60,1)))</f>
        <v>0</v>
      </c>
      <c r="G60" s="24">
        <f> if( ModifiedAvg!G60 =0,0,  if( ModifiedAvg!G60 &gt;=36, ROUND((36-ModifiedAvg!G60)* (0.75 + (count(Actuals!$C60:G60)/18*0.15)),1), round(36 -ModifiedAvg!G60,1)))</f>
        <v>0</v>
      </c>
      <c r="H60" s="24">
        <f> if( ModifiedAvg!H60 =0,0,  if( ModifiedAvg!H60 &gt;=36, ROUND((36-ModifiedAvg!H60)* (0.83),1), round(36 -ModifiedAvg!H60,1)))</f>
        <v>0</v>
      </c>
      <c r="I60" s="24">
        <f> if( ModifiedAvg!I60 =0,0,  if( ModifiedAvg!I60 &gt;=36, ROUND((36-ModifiedAvg!I60)* (0.83),1), round(36 -ModifiedAvg!I60,1)))</f>
        <v>0</v>
      </c>
      <c r="J60" s="24">
        <f> if( ModifiedAvg!J60 =0,0,  if( ModifiedAvg!J60 &gt;=36, ROUND((36-ModifiedAvg!J60)* (0.83),1), round(36 -ModifiedAvg!J60,1)))</f>
        <v>0</v>
      </c>
      <c r="K60" s="24">
        <f> if( ModifiedAvg!K60 =0,0,  if( ModifiedAvg!K60 &gt;=36, ROUND((36-ModifiedAvg!K60)* (0.83),1), round(36 -ModifiedAvg!K60,1)))</f>
        <v>0</v>
      </c>
      <c r="L60" s="24">
        <f> if( ModifiedAvg!L60 =0,0,  if( ModifiedAvg!L60 &gt;=36, ROUND((36-ModifiedAvg!L60)* (0.83),1), round(36 -ModifiedAvg!L60,1)))</f>
        <v>0</v>
      </c>
      <c r="M60" s="24">
        <f> if( ModifiedAvg!M60 =0,0,  if( ModifiedAvg!M60 &gt;=36, ROUND((36-ModifiedAvg!M60)* (0.83),1), round(36 -ModifiedAvg!M60,1)))</f>
        <v>0</v>
      </c>
      <c r="N60" s="24">
        <f> if( ModifiedAvg!N60 =0,0,  if( ModifiedAvg!N60 &gt;=36, ROUND((36-ModifiedAvg!N60)* (0.83),1), round(36 -ModifiedAvg!N60,1)))</f>
        <v>0</v>
      </c>
      <c r="O60" s="24">
        <f> if( ModifiedAvg!O60 =0,0,  if( ModifiedAvg!O60 &gt;=36, ROUND((36-ModifiedAvg!O60)* (0.83),1), round(36 -ModifiedAvg!O60,1)))</f>
        <v>0</v>
      </c>
      <c r="P60" s="24">
        <f> if( ModifiedAvg!P60 =0,0,  if( ModifiedAvg!P60 &gt;=36, ROUND((36-ModifiedAvg!P60)* (0.83),1), round(36 -ModifiedAvg!P60,1)))</f>
        <v>0</v>
      </c>
      <c r="Q60" s="24">
        <f> if( ModifiedAvg!Q60 =0,0,  if( ModifiedAvg!Q60 &gt;=36, ROUND((36-ModifiedAvg!Q60)* (0.83),1), round(36 -ModifiedAvg!Q60,1)))</f>
        <v>0</v>
      </c>
      <c r="R60" s="24">
        <f> if( ModifiedAvg!R60 =0,0,  if( ModifiedAvg!R60 &gt;=36, ROUND((36-ModifiedAvg!R60)* (0.75 + (count(Actuals!$C60:R60)/18*0.15)),1), round((36 -ModifiedAvg!R60)/2,1)))</f>
        <v>0</v>
      </c>
    </row>
    <row r="61">
      <c r="A61" s="13" t="str">
        <f>Actuals!B61</f>
        <v>blank17</v>
      </c>
      <c r="B61" s="24">
        <f> if( ModifiedAvg!B61 =0,0,  if( ModifiedAvg!B61 &gt;=$B$2, ROUND(($B$2-ModifiedAvg!B61)* (0.75 + (count(Actuals!B61:$C61)/18*0.15)),1), round($B$2 -ModifiedAvg!B61,1)))</f>
        <v>-1.5</v>
      </c>
      <c r="C61" s="24">
        <f> if( ModifiedAvg!C61 =0,0,  if( ModifiedAvg!C61 &gt;=$C$2, ROUND(($C$2-ModifiedAvg!C61)* (0.75 + (count(Actuals!C61:$C61)/18*0.15)),1), round($C$2 -ModifiedAvg!C61,1)))</f>
        <v>-0.8</v>
      </c>
      <c r="D61" s="24">
        <f> if( ModifiedAvg!D61 =0,0,  if( ModifiedAvg!D61 &gt;=$D$2, ROUND(($D$2-ModifiedAvg!D61)*0.75,1), round($D$2 -ModifiedAvg!D61,1)))</f>
        <v>-1.5</v>
      </c>
      <c r="E61" s="24">
        <f> if( ModifiedAvg!E61 =0,0,  if( ModifiedAvg!E61 &gt;=36, ROUND((36-ModifiedAvg!E61)*0.75,1), round(36 -ModifiedAvg!E61,1)))</f>
        <v>0</v>
      </c>
      <c r="F61" s="24">
        <f> if( ModifiedAvg!F61 =0,0,  if( ModifiedAvg!F61 &gt;=36, ROUND((36-ModifiedAvg!F61)* (0.75 + (count(Actuals!C61:F61)/18*0.15)),1), round(36 -ModifiedAvg!F61,1)))</f>
        <v>0</v>
      </c>
      <c r="G61" s="24">
        <f> if( ModifiedAvg!G61 =0,0,  if( ModifiedAvg!G61 &gt;=36, ROUND((36-ModifiedAvg!G61)* (0.75 + (count(Actuals!$C61:G61)/18*0.15)),1), round(36 -ModifiedAvg!G61,1)))</f>
        <v>0</v>
      </c>
      <c r="H61" s="24">
        <f> if( ModifiedAvg!H61 =0,0,  if( ModifiedAvg!H61 &gt;=36, ROUND((36-ModifiedAvg!H61)* (0.83),1), round(36 -ModifiedAvg!H61,1)))</f>
        <v>0</v>
      </c>
      <c r="I61" s="24">
        <f> if( ModifiedAvg!I61 =0,0,  if( ModifiedAvg!I61 &gt;=36, ROUND((36-ModifiedAvg!I61)* (0.83),1), round(36 -ModifiedAvg!I61,1)))</f>
        <v>0</v>
      </c>
      <c r="J61" s="24">
        <f> if( ModifiedAvg!J61 =0,0,  if( ModifiedAvg!J61 &gt;=36, ROUND((36-ModifiedAvg!J61)* (0.83),1), round(36 -ModifiedAvg!J61,1)))</f>
        <v>0</v>
      </c>
      <c r="K61" s="24">
        <f> if( ModifiedAvg!K61 =0,0,  if( ModifiedAvg!K61 &gt;=36, ROUND((36-ModifiedAvg!K61)* (0.83),1), round(36 -ModifiedAvg!K61,1)))</f>
        <v>0</v>
      </c>
      <c r="L61" s="24">
        <f> if( ModifiedAvg!L61 =0,0,  if( ModifiedAvg!L61 &gt;=36, ROUND((36-ModifiedAvg!L61)* (0.83),1), round(36 -ModifiedAvg!L61,1)))</f>
        <v>0</v>
      </c>
      <c r="M61" s="24">
        <f> if( ModifiedAvg!M61 =0,0,  if( ModifiedAvg!M61 &gt;=36, ROUND((36-ModifiedAvg!M61)* (0.83),1), round(36 -ModifiedAvg!M61,1)))</f>
        <v>0</v>
      </c>
      <c r="N61" s="24">
        <f> if( ModifiedAvg!N61 =0,0,  if( ModifiedAvg!N61 &gt;=36, ROUND((36-ModifiedAvg!N61)* (0.83),1), round(36 -ModifiedAvg!N61,1)))</f>
        <v>0</v>
      </c>
      <c r="O61" s="24">
        <f> if( ModifiedAvg!O61 =0,0,  if( ModifiedAvg!O61 &gt;=36, ROUND((36-ModifiedAvg!O61)* (0.83),1), round(36 -ModifiedAvg!O61,1)))</f>
        <v>0</v>
      </c>
      <c r="P61" s="24">
        <f> if( ModifiedAvg!P61 =0,0,  if( ModifiedAvg!P61 &gt;=36, ROUND((36-ModifiedAvg!P61)* (0.83),1), round(36 -ModifiedAvg!P61,1)))</f>
        <v>0</v>
      </c>
      <c r="Q61" s="24">
        <f> if( ModifiedAvg!Q61 =0,0,  if( ModifiedAvg!Q61 &gt;=36, ROUND((36-ModifiedAvg!Q61)* (0.83),1), round(36 -ModifiedAvg!Q61,1)))</f>
        <v>0</v>
      </c>
      <c r="R61" s="24">
        <f> if( ModifiedAvg!R61 =0,0,  if( ModifiedAvg!R61 &gt;=36, ROUND((36-ModifiedAvg!R61)* (0.75 + (count(Actuals!$C61:R61)/18*0.15)),1), round((36 -ModifiedAvg!R61)/2,1)))</f>
        <v>0</v>
      </c>
    </row>
    <row r="62">
      <c r="A62" s="13" t="str">
        <f>Actuals!B62</f>
        <v>blank18</v>
      </c>
      <c r="B62" s="24">
        <f> if( ModifiedAvg!B62 =0,0,  if( ModifiedAvg!B62 &gt;=$B$2, ROUND(($B$2-ModifiedAvg!B62)* (0.75 + (count(Actuals!B62:$C62)/18*0.15)),1), round($B$2 -ModifiedAvg!B62,1)))</f>
        <v>-1.5</v>
      </c>
      <c r="C62" s="24">
        <f> if( ModifiedAvg!C62 =0,0,  if( ModifiedAvg!C62 &gt;=$C$2, ROUND(($C$2-ModifiedAvg!C62)* (0.75 + (count(Actuals!C62:$C62)/18*0.15)),1), round($C$2 -ModifiedAvg!C62,1)))</f>
        <v>-0.8</v>
      </c>
      <c r="D62" s="24">
        <f> if( ModifiedAvg!D62 =0,0,  if( ModifiedAvg!D62 &gt;=$D$2, ROUND(($D$2-ModifiedAvg!D62)*0.75,1), round($D$2 -ModifiedAvg!D62,1)))</f>
        <v>-1.5</v>
      </c>
      <c r="E62" s="24">
        <f> if( ModifiedAvg!E62 =0,0,  if( ModifiedAvg!E62 &gt;=36, ROUND((36-ModifiedAvg!E62)*0.75,1), round(36 -ModifiedAvg!E62,1)))</f>
        <v>0</v>
      </c>
      <c r="F62" s="24">
        <f> if( ModifiedAvg!F62 =0,0,  if( ModifiedAvg!F62 &gt;=36, ROUND((36-ModifiedAvg!F62)* (0.75 + (count(Actuals!C62:F62)/18*0.15)),1), round(36 -ModifiedAvg!F62,1)))</f>
        <v>0</v>
      </c>
      <c r="G62" s="24">
        <f> if( ModifiedAvg!G62 =0,0,  if( ModifiedAvg!G62 &gt;=36, ROUND((36-ModifiedAvg!G62)* (0.75 + (count(Actuals!$C62:G62)/18*0.15)),1), round(36 -ModifiedAvg!G62,1)))</f>
        <v>0</v>
      </c>
      <c r="H62" s="24">
        <f> if( ModifiedAvg!H62 =0,0,  if( ModifiedAvg!H62 &gt;=36, ROUND((36-ModifiedAvg!H62)* (0.83),1), round(36 -ModifiedAvg!H62,1)))</f>
        <v>0</v>
      </c>
      <c r="I62" s="24">
        <f> if( ModifiedAvg!I62 =0,0,  if( ModifiedAvg!I62 &gt;=36, ROUND((36-ModifiedAvg!I62)* (0.83),1), round(36 -ModifiedAvg!I62,1)))</f>
        <v>0</v>
      </c>
      <c r="J62" s="24">
        <f> if( ModifiedAvg!J62 =0,0,  if( ModifiedAvg!J62 &gt;=36, ROUND((36-ModifiedAvg!J62)* (0.83),1), round(36 -ModifiedAvg!J62,1)))</f>
        <v>0</v>
      </c>
      <c r="K62" s="24">
        <f> if( ModifiedAvg!K62 =0,0,  if( ModifiedAvg!K62 &gt;=36, ROUND((36-ModifiedAvg!K62)* (0.83),1), round(36 -ModifiedAvg!K62,1)))</f>
        <v>0</v>
      </c>
      <c r="L62" s="24">
        <f> if( ModifiedAvg!L62 =0,0,  if( ModifiedAvg!L62 &gt;=36, ROUND((36-ModifiedAvg!L62)* (0.83),1), round(36 -ModifiedAvg!L62,1)))</f>
        <v>0</v>
      </c>
      <c r="M62" s="24">
        <f> if( ModifiedAvg!M62 =0,0,  if( ModifiedAvg!M62 &gt;=36, ROUND((36-ModifiedAvg!M62)* (0.83),1), round(36 -ModifiedAvg!M62,1)))</f>
        <v>0</v>
      </c>
      <c r="N62" s="24">
        <f> if( ModifiedAvg!N62 =0,0,  if( ModifiedAvg!N62 &gt;=36, ROUND((36-ModifiedAvg!N62)* (0.83),1), round(36 -ModifiedAvg!N62,1)))</f>
        <v>0</v>
      </c>
      <c r="O62" s="24">
        <f> if( ModifiedAvg!O62 =0,0,  if( ModifiedAvg!O62 &gt;=36, ROUND((36-ModifiedAvg!O62)* (0.83),1), round(36 -ModifiedAvg!O62,1)))</f>
        <v>0</v>
      </c>
      <c r="P62" s="24">
        <f> if( ModifiedAvg!P62 =0,0,  if( ModifiedAvg!P62 &gt;=36, ROUND((36-ModifiedAvg!P62)* (0.83),1), round(36 -ModifiedAvg!P62,1)))</f>
        <v>0</v>
      </c>
      <c r="Q62" s="24">
        <f> if( ModifiedAvg!Q62 =0,0,  if( ModifiedAvg!Q62 &gt;=36, ROUND((36-ModifiedAvg!Q62)* (0.83),1), round(36 -ModifiedAvg!Q62,1)))</f>
        <v>0</v>
      </c>
      <c r="R62" s="24">
        <f> if( ModifiedAvg!R62 =0,0,  if( ModifiedAvg!R62 &gt;=36, ROUND((36-ModifiedAvg!R62)* (0.75 + (count(Actuals!$C62:R62)/18*0.15)),1), round((36 -ModifiedAvg!R62)/2,1)))</f>
        <v>0</v>
      </c>
    </row>
    <row r="63">
      <c r="A63" s="13" t="str">
        <f>Actuals!B63</f>
        <v>blank19</v>
      </c>
      <c r="B63" s="24">
        <f> if( ModifiedAvg!B63 =0,0,  if( ModifiedAvg!B63 &gt;=$B$2, ROUND(($B$2-ModifiedAvg!B63)* (0.75 + (count(Actuals!B63:$C63)/18*0.15)),1), round($B$2 -ModifiedAvg!B63,1)))</f>
        <v>-1.5</v>
      </c>
      <c r="C63" s="24">
        <f> if( ModifiedAvg!C63 =0,0,  if( ModifiedAvg!C63 &gt;=$C$2, ROUND(($C$2-ModifiedAvg!C63)* (0.75 + (count(Actuals!C63:$C63)/18*0.15)),1), round($C$2 -ModifiedAvg!C63,1)))</f>
        <v>-0.8</v>
      </c>
      <c r="D63" s="24">
        <f> if( ModifiedAvg!D63 =0,0,  if( ModifiedAvg!D63 &gt;=$D$2, ROUND(($D$2-ModifiedAvg!D63)*0.75,1), round($D$2 -ModifiedAvg!D63,1)))</f>
        <v>-1.5</v>
      </c>
      <c r="E63" s="24">
        <f> if( ModifiedAvg!E63 =0,0,  if( ModifiedAvg!E63 &gt;=36, ROUND((36-ModifiedAvg!E63)*0.75,1), round(36 -ModifiedAvg!E63,1)))</f>
        <v>0</v>
      </c>
      <c r="F63" s="24">
        <f> if( ModifiedAvg!F63 =0,0,  if( ModifiedAvg!F63 &gt;=36, ROUND((36-ModifiedAvg!F63)* (0.75 + (count(Actuals!C63:F63)/18*0.15)),1), round(36 -ModifiedAvg!F63,1)))</f>
        <v>0</v>
      </c>
      <c r="G63" s="24">
        <f> if( ModifiedAvg!G63 =0,0,  if( ModifiedAvg!G63 &gt;=36, ROUND((36-ModifiedAvg!G63)* (0.75 + (count(Actuals!$C63:G63)/18*0.15)),1), round(36 -ModifiedAvg!G63,1)))</f>
        <v>0</v>
      </c>
      <c r="H63" s="24">
        <f> if( ModifiedAvg!H63 =0,0,  if( ModifiedAvg!H63 &gt;=36, ROUND((36-ModifiedAvg!H63)* (0.83),1), round(36 -ModifiedAvg!H63,1)))</f>
        <v>0</v>
      </c>
      <c r="I63" s="24">
        <f> if( ModifiedAvg!I63 =0,0,  if( ModifiedAvg!I63 &gt;=36, ROUND((36-ModifiedAvg!I63)* (0.83),1), round(36 -ModifiedAvg!I63,1)))</f>
        <v>0</v>
      </c>
      <c r="J63" s="24">
        <f> if( ModifiedAvg!J63 =0,0,  if( ModifiedAvg!J63 &gt;=36, ROUND((36-ModifiedAvg!J63)* (0.83),1), round(36 -ModifiedAvg!J63,1)))</f>
        <v>0</v>
      </c>
      <c r="K63" s="24">
        <f> if( ModifiedAvg!K63 =0,0,  if( ModifiedAvg!K63 &gt;=36, ROUND((36-ModifiedAvg!K63)* (0.83),1), round(36 -ModifiedAvg!K63,1)))</f>
        <v>0</v>
      </c>
      <c r="L63" s="24">
        <f> if( ModifiedAvg!L63 =0,0,  if( ModifiedAvg!L63 &gt;=36, ROUND((36-ModifiedAvg!L63)* (0.83),1), round(36 -ModifiedAvg!L63,1)))</f>
        <v>0</v>
      </c>
      <c r="M63" s="24">
        <f> if( ModifiedAvg!M63 =0,0,  if( ModifiedAvg!M63 &gt;=36, ROUND((36-ModifiedAvg!M63)* (0.83),1), round(36 -ModifiedAvg!M63,1)))</f>
        <v>0</v>
      </c>
      <c r="N63" s="24">
        <f> if( ModifiedAvg!N63 =0,0,  if( ModifiedAvg!N63 &gt;=36, ROUND((36-ModifiedAvg!N63)* (0.83),1), round(36 -ModifiedAvg!N63,1)))</f>
        <v>0</v>
      </c>
      <c r="O63" s="24">
        <f> if( ModifiedAvg!O63 =0,0,  if( ModifiedAvg!O63 &gt;=36, ROUND((36-ModifiedAvg!O63)* (0.83),1), round(36 -ModifiedAvg!O63,1)))</f>
        <v>0</v>
      </c>
      <c r="P63" s="24">
        <f> if( ModifiedAvg!P63 =0,0,  if( ModifiedAvg!P63 &gt;=36, ROUND((36-ModifiedAvg!P63)* (0.83),1), round(36 -ModifiedAvg!P63,1)))</f>
        <v>0</v>
      </c>
      <c r="Q63" s="24">
        <f> if( ModifiedAvg!Q63 =0,0,  if( ModifiedAvg!Q63 &gt;=36, ROUND((36-ModifiedAvg!Q63)* (0.83),1), round(36 -ModifiedAvg!Q63,1)))</f>
        <v>0</v>
      </c>
      <c r="R63" s="24">
        <f> if( ModifiedAvg!R63 =0,0,  if( ModifiedAvg!R63 &gt;=36, ROUND((36-ModifiedAvg!R63)* (0.75 + (count(Actuals!$C63:R63)/18*0.15)),1), round((36 -ModifiedAvg!R63)/2,1)))</f>
        <v>0</v>
      </c>
    </row>
    <row r="64">
      <c r="A64" s="13" t="str">
        <f>Actuals!B64</f>
        <v>blank20</v>
      </c>
      <c r="B64" s="24">
        <f> if( ModifiedAvg!B64 =0,0,  if( ModifiedAvg!B64 &gt;=$B$2, ROUND(($B$2-ModifiedAvg!B64)* (0.75 + (count(Actuals!B64:$C64)/18*0.15)),1), round($B$2 -ModifiedAvg!B64,1)))</f>
        <v>-1.5</v>
      </c>
      <c r="C64" s="24">
        <f> if( ModifiedAvg!C64 =0,0,  if( ModifiedAvg!C64 &gt;=$C$2, ROUND(($C$2-ModifiedAvg!C64)* (0.75 + (count(Actuals!C64:$C64)/18*0.15)),1), round($C$2 -ModifiedAvg!C64,1)))</f>
        <v>-0.8</v>
      </c>
      <c r="D64" s="24">
        <f> if( ModifiedAvg!D64 =0,0,  if( ModifiedAvg!D64 &gt;=$D$2, ROUND(($D$2-ModifiedAvg!D64)*0.75,1), round($D$2 -ModifiedAvg!D64,1)))</f>
        <v>-1.5</v>
      </c>
      <c r="E64" s="24">
        <f> if( ModifiedAvg!E64 =0,0,  if( ModifiedAvg!E64 &gt;=36, ROUND((36-ModifiedAvg!E64)*0.75,1), round(36 -ModifiedAvg!E64,1)))</f>
        <v>0</v>
      </c>
      <c r="F64" s="24">
        <f> if( ModifiedAvg!F64 =0,0,  if( ModifiedAvg!F64 &gt;=36, ROUND((36-ModifiedAvg!F64)* (0.75 + (count(Actuals!C64:F64)/18*0.15)),1), round(36 -ModifiedAvg!F64,1)))</f>
        <v>0</v>
      </c>
      <c r="G64" s="24">
        <f> if( ModifiedAvg!G64 =0,0,  if( ModifiedAvg!G64 &gt;=36, ROUND((36-ModifiedAvg!G64)* (0.75 + (count(Actuals!$C64:G64)/18*0.15)),1), round(36 -ModifiedAvg!G64,1)))</f>
        <v>0</v>
      </c>
      <c r="H64" s="24">
        <f> if( ModifiedAvg!H64 =0,0,  if( ModifiedAvg!H64 &gt;=36, ROUND((36-ModifiedAvg!H64)* (0.83),1), round(36 -ModifiedAvg!H64,1)))</f>
        <v>0</v>
      </c>
      <c r="I64" s="24">
        <f> if( ModifiedAvg!I64 =0,0,  if( ModifiedAvg!I64 &gt;=36, ROUND((36-ModifiedAvg!I64)* (0.83),1), round(36 -ModifiedAvg!I64,1)))</f>
        <v>0</v>
      </c>
      <c r="J64" s="24">
        <f> if( ModifiedAvg!J64 =0,0,  if( ModifiedAvg!J64 &gt;=36, ROUND((36-ModifiedAvg!J64)* (0.83),1), round(36 -ModifiedAvg!J64,1)))</f>
        <v>0</v>
      </c>
      <c r="K64" s="24">
        <f> if( ModifiedAvg!K64 =0,0,  if( ModifiedAvg!K64 &gt;=36, ROUND((36-ModifiedAvg!K64)* (0.83),1), round(36 -ModifiedAvg!K64,1)))</f>
        <v>0</v>
      </c>
      <c r="L64" s="24">
        <f> if( ModifiedAvg!L64 =0,0,  if( ModifiedAvg!L64 &gt;=36, ROUND((36-ModifiedAvg!L64)* (0.83),1), round(36 -ModifiedAvg!L64,1)))</f>
        <v>0</v>
      </c>
      <c r="M64" s="24">
        <f> if( ModifiedAvg!M64 =0,0,  if( ModifiedAvg!M64 &gt;=36, ROUND((36-ModifiedAvg!M64)* (0.83),1), round(36 -ModifiedAvg!M64,1)))</f>
        <v>0</v>
      </c>
      <c r="N64" s="24">
        <f> if( ModifiedAvg!N64 =0,0,  if( ModifiedAvg!N64 &gt;=36, ROUND((36-ModifiedAvg!N64)* (0.83),1), round(36 -ModifiedAvg!N64,1)))</f>
        <v>0</v>
      </c>
      <c r="O64" s="24">
        <f> if( ModifiedAvg!O64 =0,0,  if( ModifiedAvg!O64 &gt;=36, ROUND((36-ModifiedAvg!O64)* (0.83),1), round(36 -ModifiedAvg!O64,1)))</f>
        <v>0</v>
      </c>
      <c r="P64" s="24">
        <f> if( ModifiedAvg!P64 =0,0,  if( ModifiedAvg!P64 &gt;=36, ROUND((36-ModifiedAvg!P64)* (0.83),1), round(36 -ModifiedAvg!P64,1)))</f>
        <v>0</v>
      </c>
      <c r="Q64" s="24">
        <f> if( ModifiedAvg!Q64 =0,0,  if( ModifiedAvg!Q64 &gt;=36, ROUND((36-ModifiedAvg!Q64)* (0.83),1), round(36 -ModifiedAvg!Q64,1)))</f>
        <v>0</v>
      </c>
      <c r="R64" s="24">
        <f> if( ModifiedAvg!R64 =0,0,  if( ModifiedAvg!R64 &gt;=36, ROUND((36-ModifiedAvg!R64)* (0.75 + (count(Actuals!$C64:R64)/18*0.15)),1), round((36 -ModifiedAvg!R64)/2,1)))</f>
        <v>0</v>
      </c>
    </row>
    <row r="65">
      <c r="A65" s="13" t="str">
        <f>Actuals!B65</f>
        <v>blank21</v>
      </c>
      <c r="B65" s="24">
        <f> if( ModifiedAvg!B65 =0,0,  if( ModifiedAvg!B65 &gt;=$B$2, ROUND(($B$2-ModifiedAvg!B65)* (0.75 + (count(Actuals!B65:$C65)/18*0.15)),1), round($B$2 -ModifiedAvg!B65,1)))</f>
        <v>-1.5</v>
      </c>
      <c r="C65" s="24">
        <f> if( ModifiedAvg!C65 =0,0,  if( ModifiedAvg!C65 &gt;=$C$2, ROUND(($C$2-ModifiedAvg!C65)* (0.75 + (count(Actuals!C65:$C65)/18*0.15)),1), round($C$2 -ModifiedAvg!C65,1)))</f>
        <v>-0.8</v>
      </c>
      <c r="D65" s="24">
        <f> if( ModifiedAvg!D65 =0,0,  if( ModifiedAvg!D65 &gt;=$D$2, ROUND(($D$2-ModifiedAvg!D65)*0.75,1), round($D$2 -ModifiedAvg!D65,1)))</f>
        <v>-1.5</v>
      </c>
      <c r="E65" s="24">
        <f> if( ModifiedAvg!E65 =0,0,  if( ModifiedAvg!E65 &gt;=36, ROUND((36-ModifiedAvg!E65)*0.75,1), round(36 -ModifiedAvg!E65,1)))</f>
        <v>0</v>
      </c>
      <c r="F65" s="24">
        <f> if( ModifiedAvg!F65 =0,0,  if( ModifiedAvg!F65 &gt;=36, ROUND((36-ModifiedAvg!F65)* (0.75 + (count(Actuals!C65:F65)/18*0.15)),1), round(36 -ModifiedAvg!F65,1)))</f>
        <v>0</v>
      </c>
      <c r="G65" s="24">
        <f> if( ModifiedAvg!G65 =0,0,  if( ModifiedAvg!G65 &gt;=36, ROUND((36-ModifiedAvg!G65)* (0.75 + (count(Actuals!$C65:G65)/18*0.15)),1), round(36 -ModifiedAvg!G65,1)))</f>
        <v>0</v>
      </c>
      <c r="H65" s="24">
        <f> if( ModifiedAvg!H65 =0,0,  if( ModifiedAvg!H65 &gt;=36, ROUND((36-ModifiedAvg!H65)* (0.83),1), round(36 -ModifiedAvg!H65,1)))</f>
        <v>0</v>
      </c>
      <c r="I65" s="24">
        <f> if( ModifiedAvg!I65 =0,0,  if( ModifiedAvg!I65 &gt;=36, ROUND((36-ModifiedAvg!I65)* (0.83),1), round(36 -ModifiedAvg!I65,1)))</f>
        <v>0</v>
      </c>
      <c r="J65" s="24">
        <f> if( ModifiedAvg!J65 =0,0,  if( ModifiedAvg!J65 &gt;=36, ROUND((36-ModifiedAvg!J65)* (0.83),1), round(36 -ModifiedAvg!J65,1)))</f>
        <v>0</v>
      </c>
      <c r="K65" s="24">
        <f> if( ModifiedAvg!K65 =0,0,  if( ModifiedAvg!K65 &gt;=36, ROUND((36-ModifiedAvg!K65)* (0.83),1), round(36 -ModifiedAvg!K65,1)))</f>
        <v>0</v>
      </c>
      <c r="L65" s="24">
        <f> if( ModifiedAvg!L65 =0,0,  if( ModifiedAvg!L65 &gt;=36, ROUND((36-ModifiedAvg!L65)* (0.83),1), round(36 -ModifiedAvg!L65,1)))</f>
        <v>0</v>
      </c>
      <c r="M65" s="24">
        <f> if( ModifiedAvg!M65 =0,0,  if( ModifiedAvg!M65 &gt;=36, ROUND((36-ModifiedAvg!M65)* (0.83),1), round(36 -ModifiedAvg!M65,1)))</f>
        <v>0</v>
      </c>
      <c r="N65" s="24">
        <f> if( ModifiedAvg!N65 =0,0,  if( ModifiedAvg!N65 &gt;=36, ROUND((36-ModifiedAvg!N65)* (0.83),1), round(36 -ModifiedAvg!N65,1)))</f>
        <v>0</v>
      </c>
      <c r="O65" s="24">
        <f> if( ModifiedAvg!O65 =0,0,  if( ModifiedAvg!O65 &gt;=36, ROUND((36-ModifiedAvg!O65)* (0.83),1), round(36 -ModifiedAvg!O65,1)))</f>
        <v>0</v>
      </c>
      <c r="P65" s="24">
        <f> if( ModifiedAvg!P65 =0,0,  if( ModifiedAvg!P65 &gt;=36, ROUND((36-ModifiedAvg!P65)* (0.83),1), round(36 -ModifiedAvg!P65,1)))</f>
        <v>0</v>
      </c>
      <c r="Q65" s="24">
        <f> if( ModifiedAvg!Q65 =0,0,  if( ModifiedAvg!Q65 &gt;=36, ROUND((36-ModifiedAvg!Q65)* (0.83),1), round(36 -ModifiedAvg!Q65,1)))</f>
        <v>0</v>
      </c>
      <c r="R65" s="24">
        <f> if( ModifiedAvg!R65 =0,0,  if( ModifiedAvg!R65 &gt;=36, ROUND((36-ModifiedAvg!R65)* (0.75 + (count(Actuals!$C65:R65)/18*0.15)),1), round((36 -ModifiedAvg!R65)/2,1)))</f>
        <v>0</v>
      </c>
    </row>
    <row r="66">
      <c r="A66" s="1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</row>
    <row r="67">
      <c r="A67" s="13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</row>
    <row r="68">
      <c r="A68" s="13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</row>
  </sheetData>
  <mergeCells count="1">
    <mergeCell ref="B1:Q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48</v>
      </c>
      <c r="B1" s="41" t="s">
        <v>49</v>
      </c>
      <c r="C1" s="31">
        <v>4.0</v>
      </c>
      <c r="D1" s="31">
        <v>4.0</v>
      </c>
    </row>
    <row r="2">
      <c r="A2" s="40" t="s">
        <v>50</v>
      </c>
      <c r="B2" s="41" t="s">
        <v>49</v>
      </c>
      <c r="C2" s="31">
        <v>-1.0</v>
      </c>
      <c r="D2" s="31">
        <v>-1.0</v>
      </c>
    </row>
    <row r="3">
      <c r="A3" s="40" t="s">
        <v>51</v>
      </c>
      <c r="B3" s="41" t="s">
        <v>49</v>
      </c>
      <c r="C3" s="31">
        <v>7.0</v>
      </c>
      <c r="D3" s="31">
        <v>7.0</v>
      </c>
    </row>
    <row r="4">
      <c r="A4" s="40" t="s">
        <v>22</v>
      </c>
      <c r="B4" s="41" t="s">
        <v>49</v>
      </c>
      <c r="C4" s="31">
        <v>16.0</v>
      </c>
      <c r="D4" s="42">
        <v>17.0</v>
      </c>
    </row>
    <row r="5">
      <c r="A5" s="40" t="s">
        <v>52</v>
      </c>
      <c r="B5" s="41" t="s">
        <v>49</v>
      </c>
      <c r="C5" s="31">
        <v>6.0</v>
      </c>
      <c r="D5" s="31">
        <v>6.0</v>
      </c>
    </row>
    <row r="6">
      <c r="A6" s="40" t="s">
        <v>53</v>
      </c>
      <c r="B6" s="41" t="s">
        <v>49</v>
      </c>
      <c r="C6" s="31">
        <v>8.0</v>
      </c>
      <c r="D6" s="31">
        <v>8.0</v>
      </c>
    </row>
    <row r="7">
      <c r="A7" s="40" t="s">
        <v>54</v>
      </c>
      <c r="B7" s="41" t="s">
        <v>49</v>
      </c>
      <c r="C7" s="31">
        <v>1.0</v>
      </c>
      <c r="D7" s="31">
        <v>1.0</v>
      </c>
    </row>
    <row r="8">
      <c r="A8" s="40" t="s">
        <v>55</v>
      </c>
      <c r="B8" s="41" t="s">
        <v>49</v>
      </c>
      <c r="C8" s="31">
        <v>5.0</v>
      </c>
      <c r="D8" s="31">
        <v>5.0</v>
      </c>
    </row>
    <row r="9">
      <c r="A9" s="40" t="s">
        <v>56</v>
      </c>
      <c r="B9" s="41" t="s">
        <v>49</v>
      </c>
      <c r="C9" s="31">
        <v>9.0</v>
      </c>
      <c r="D9" s="31">
        <v>9.0</v>
      </c>
    </row>
    <row r="10">
      <c r="A10" s="40" t="s">
        <v>57</v>
      </c>
      <c r="B10" s="41" t="s">
        <v>49</v>
      </c>
      <c r="C10" s="31">
        <v>2.0</v>
      </c>
      <c r="D10" s="31">
        <v>2.0</v>
      </c>
    </row>
    <row r="11">
      <c r="A11" s="40" t="s">
        <v>58</v>
      </c>
      <c r="B11" s="41" t="s">
        <v>49</v>
      </c>
      <c r="C11" s="31">
        <v>8.0</v>
      </c>
      <c r="D11" s="42">
        <v>7.0</v>
      </c>
    </row>
    <row r="12">
      <c r="A12" s="40" t="s">
        <v>59</v>
      </c>
      <c r="B12" s="41" t="s">
        <v>49</v>
      </c>
      <c r="C12" s="31">
        <v>13.0</v>
      </c>
      <c r="D12" s="31">
        <v>13.0</v>
      </c>
    </row>
    <row r="13">
      <c r="A13" s="40" t="s">
        <v>60</v>
      </c>
      <c r="B13" s="41" t="s">
        <v>49</v>
      </c>
      <c r="C13" s="31">
        <v>10.0</v>
      </c>
      <c r="D13" s="31">
        <v>10.0</v>
      </c>
    </row>
    <row r="14">
      <c r="A14" s="40" t="s">
        <v>61</v>
      </c>
      <c r="B14" s="41" t="s">
        <v>49</v>
      </c>
      <c r="C14" s="31">
        <v>30.0</v>
      </c>
      <c r="D14" s="42">
        <v>32.0</v>
      </c>
    </row>
    <row r="15">
      <c r="A15" s="40" t="s">
        <v>62</v>
      </c>
      <c r="B15" s="41" t="s">
        <v>49</v>
      </c>
      <c r="C15" s="31">
        <v>17.0</v>
      </c>
      <c r="D15" s="31">
        <v>17.0</v>
      </c>
    </row>
    <row r="16">
      <c r="A16" s="40" t="s">
        <v>25</v>
      </c>
      <c r="B16" s="41" t="s">
        <v>49</v>
      </c>
      <c r="C16" s="31">
        <v>18.0</v>
      </c>
      <c r="D16" s="42">
        <v>19.0</v>
      </c>
    </row>
    <row r="17" ht="15.75" customHeight="1">
      <c r="A17" s="40" t="s">
        <v>63</v>
      </c>
      <c r="B17" s="41" t="s">
        <v>49</v>
      </c>
      <c r="C17" s="31">
        <v>34.0</v>
      </c>
      <c r="D17" s="31">
        <v>34.0</v>
      </c>
    </row>
    <row r="18">
      <c r="A18" s="40" t="s">
        <v>64</v>
      </c>
      <c r="B18" s="41" t="s">
        <v>49</v>
      </c>
      <c r="C18" s="31">
        <v>16.0</v>
      </c>
      <c r="D18" s="31">
        <v>16.0</v>
      </c>
    </row>
    <row r="19">
      <c r="A19" s="40" t="s">
        <v>26</v>
      </c>
      <c r="B19" s="41" t="s">
        <v>49</v>
      </c>
      <c r="C19" s="31">
        <v>14.0</v>
      </c>
      <c r="D19" s="42">
        <v>24.0</v>
      </c>
    </row>
    <row r="20">
      <c r="A20" s="40" t="s">
        <v>65</v>
      </c>
      <c r="B20" s="41" t="s">
        <v>49</v>
      </c>
      <c r="C20" s="31">
        <v>16.0</v>
      </c>
      <c r="D20" s="31">
        <v>16.0</v>
      </c>
    </row>
    <row r="21">
      <c r="A21" s="40"/>
      <c r="B21" s="41"/>
    </row>
    <row r="22">
      <c r="A22" s="4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  <col customWidth="1" min="6" max="6" width="13.88"/>
    <col customWidth="1" min="10" max="10" width="14.0"/>
    <col customWidth="1" min="11" max="11" width="37.13"/>
    <col customWidth="1" min="12" max="12" width="35.75"/>
  </cols>
  <sheetData>
    <row r="2">
      <c r="A2" s="43" t="s">
        <v>66</v>
      </c>
      <c r="B2" s="41" t="s">
        <v>67</v>
      </c>
      <c r="C2" s="31" t="s">
        <v>68</v>
      </c>
      <c r="E2" s="43" t="s">
        <v>69</v>
      </c>
      <c r="F2" s="41" t="s">
        <v>67</v>
      </c>
      <c r="G2" s="31" t="s">
        <v>68</v>
      </c>
      <c r="K2" s="31" t="s">
        <v>70</v>
      </c>
      <c r="L2" s="31" t="s">
        <v>71</v>
      </c>
    </row>
    <row r="3">
      <c r="A3" s="44" t="s">
        <v>72</v>
      </c>
      <c r="B3" s="45">
        <v>-1.0</v>
      </c>
      <c r="C3" s="46" t="s">
        <v>73</v>
      </c>
      <c r="E3" s="44" t="s">
        <v>74</v>
      </c>
      <c r="F3" s="45">
        <v>1.0</v>
      </c>
      <c r="G3" s="46" t="s">
        <v>73</v>
      </c>
      <c r="J3" s="31" t="s">
        <v>66</v>
      </c>
      <c r="K3" s="47" t="s">
        <v>75</v>
      </c>
      <c r="L3" s="31" t="s">
        <v>76</v>
      </c>
    </row>
    <row r="4">
      <c r="A4" s="44" t="s">
        <v>77</v>
      </c>
      <c r="B4" s="45">
        <v>-2.0</v>
      </c>
      <c r="C4" s="46" t="s">
        <v>73</v>
      </c>
      <c r="E4" s="44" t="s">
        <v>78</v>
      </c>
      <c r="F4" s="45">
        <v>-5.0</v>
      </c>
      <c r="G4" s="46" t="s">
        <v>79</v>
      </c>
      <c r="J4" s="31" t="s">
        <v>69</v>
      </c>
      <c r="K4" s="47" t="s">
        <v>80</v>
      </c>
      <c r="L4" s="31" t="s">
        <v>81</v>
      </c>
    </row>
    <row r="5">
      <c r="A5" s="44" t="s">
        <v>82</v>
      </c>
      <c r="B5" s="45">
        <v>-4.0</v>
      </c>
      <c r="C5" s="46" t="s">
        <v>73</v>
      </c>
      <c r="E5" s="44" t="s">
        <v>83</v>
      </c>
      <c r="F5" s="45">
        <v>-7.0</v>
      </c>
      <c r="G5" s="46" t="s">
        <v>79</v>
      </c>
    </row>
    <row r="6">
      <c r="A6" s="44" t="s">
        <v>84</v>
      </c>
      <c r="B6" s="45">
        <v>-6.0</v>
      </c>
      <c r="C6" s="46" t="s">
        <v>79</v>
      </c>
      <c r="E6" s="44" t="s">
        <v>85</v>
      </c>
      <c r="F6" s="45">
        <v>-7.0</v>
      </c>
      <c r="G6" s="46" t="s">
        <v>79</v>
      </c>
    </row>
    <row r="7">
      <c r="A7" s="44" t="s">
        <v>86</v>
      </c>
      <c r="B7" s="45">
        <v>-8.0</v>
      </c>
      <c r="C7" s="46" t="s">
        <v>79</v>
      </c>
      <c r="E7" s="44" t="s">
        <v>87</v>
      </c>
      <c r="F7" s="45">
        <v>-9.0</v>
      </c>
      <c r="G7" s="46" t="s">
        <v>73</v>
      </c>
    </row>
    <row r="8">
      <c r="A8" s="44" t="s">
        <v>60</v>
      </c>
      <c r="B8" s="45">
        <v>-10.0</v>
      </c>
      <c r="C8" s="46" t="s">
        <v>79</v>
      </c>
      <c r="E8" s="44" t="s">
        <v>88</v>
      </c>
      <c r="F8" s="45">
        <v>-13.0</v>
      </c>
      <c r="G8" s="46" t="s">
        <v>79</v>
      </c>
    </row>
    <row r="9">
      <c r="A9" s="44" t="s">
        <v>89</v>
      </c>
      <c r="B9" s="45">
        <v>-16.0</v>
      </c>
      <c r="C9" s="46" t="s">
        <v>79</v>
      </c>
      <c r="E9" s="44" t="s">
        <v>90</v>
      </c>
      <c r="F9" s="45">
        <v>-16.0</v>
      </c>
      <c r="G9" s="46" t="s">
        <v>91</v>
      </c>
    </row>
    <row r="10">
      <c r="A10" s="44" t="s">
        <v>92</v>
      </c>
      <c r="B10" s="45">
        <v>-17.0</v>
      </c>
      <c r="C10" s="46" t="s">
        <v>79</v>
      </c>
      <c r="E10" s="44" t="s">
        <v>93</v>
      </c>
      <c r="F10" s="45">
        <v>-17.0</v>
      </c>
      <c r="G10" s="46" t="s">
        <v>79</v>
      </c>
    </row>
    <row r="11">
      <c r="A11" s="44" t="s">
        <v>94</v>
      </c>
      <c r="B11" s="45">
        <v>-24.0</v>
      </c>
      <c r="C11" s="46" t="s">
        <v>79</v>
      </c>
      <c r="E11" s="44" t="s">
        <v>95</v>
      </c>
      <c r="F11" s="45">
        <v>-19.0</v>
      </c>
      <c r="G11" s="46" t="s">
        <v>79</v>
      </c>
    </row>
    <row r="12">
      <c r="A12" s="44" t="s">
        <v>96</v>
      </c>
      <c r="B12" s="45">
        <v>-32.0</v>
      </c>
      <c r="C12" s="46" t="s">
        <v>79</v>
      </c>
      <c r="E12" s="44" t="s">
        <v>97</v>
      </c>
      <c r="F12" s="45">
        <v>-34.0</v>
      </c>
      <c r="G12" s="46" t="s">
        <v>79</v>
      </c>
    </row>
    <row r="15">
      <c r="A15" s="31" t="s">
        <v>98</v>
      </c>
      <c r="B15" s="31" t="s">
        <v>99</v>
      </c>
      <c r="C15" s="31" t="s">
        <v>100</v>
      </c>
      <c r="D15" s="31" t="s">
        <v>101</v>
      </c>
    </row>
    <row r="16">
      <c r="A16" s="46" t="s">
        <v>102</v>
      </c>
      <c r="B16" s="46" t="s">
        <v>103</v>
      </c>
      <c r="C16" s="46" t="s">
        <v>104</v>
      </c>
      <c r="D16" s="46" t="s">
        <v>105</v>
      </c>
    </row>
    <row r="17">
      <c r="A17" s="46" t="s">
        <v>106</v>
      </c>
      <c r="B17" s="46" t="s">
        <v>107</v>
      </c>
      <c r="C17" s="46" t="s">
        <v>108</v>
      </c>
      <c r="D17" s="46" t="s">
        <v>109</v>
      </c>
    </row>
    <row r="18">
      <c r="A18" s="46" t="s">
        <v>110</v>
      </c>
      <c r="B18" s="46" t="s">
        <v>111</v>
      </c>
      <c r="C18" s="46" t="s">
        <v>112</v>
      </c>
      <c r="D18" s="46" t="s">
        <v>113</v>
      </c>
    </row>
    <row r="22">
      <c r="A22" s="48" t="s">
        <v>103</v>
      </c>
    </row>
    <row r="23">
      <c r="A23" s="31" t="s">
        <v>102</v>
      </c>
      <c r="B23" s="49" t="s">
        <v>114</v>
      </c>
      <c r="C23" s="49" t="s">
        <v>115</v>
      </c>
      <c r="D23" s="50" t="s">
        <v>116</v>
      </c>
      <c r="E23" s="50" t="s">
        <v>117</v>
      </c>
      <c r="F23" s="41" t="s">
        <v>100</v>
      </c>
    </row>
    <row r="24">
      <c r="A24" s="31" t="s">
        <v>118</v>
      </c>
      <c r="B24" s="51" t="s">
        <v>119</v>
      </c>
      <c r="C24" s="51" t="s">
        <v>120</v>
      </c>
      <c r="D24" s="52" t="s">
        <v>121</v>
      </c>
      <c r="E24" s="52" t="s">
        <v>122</v>
      </c>
      <c r="F24" s="53">
        <v>0.4340277777777778</v>
      </c>
      <c r="G24" s="31" t="s">
        <v>123</v>
      </c>
    </row>
    <row r="25">
      <c r="A25" s="31" t="s">
        <v>124</v>
      </c>
      <c r="B25" s="51" t="s">
        <v>125</v>
      </c>
      <c r="C25" s="51" t="s">
        <v>126</v>
      </c>
      <c r="D25" s="52" t="s">
        <v>127</v>
      </c>
      <c r="E25" s="52" t="s">
        <v>128</v>
      </c>
      <c r="F25" s="53">
        <v>0.4409722222222222</v>
      </c>
      <c r="G25" s="31" t="s">
        <v>123</v>
      </c>
    </row>
    <row r="26">
      <c r="A26" s="31" t="s">
        <v>129</v>
      </c>
      <c r="B26" s="51" t="s">
        <v>130</v>
      </c>
      <c r="C26" s="51" t="s">
        <v>131</v>
      </c>
      <c r="D26" s="52" t="s">
        <v>132</v>
      </c>
      <c r="E26" s="52" t="s">
        <v>133</v>
      </c>
      <c r="F26" s="53">
        <v>0.4479166666666667</v>
      </c>
      <c r="G26" s="31" t="s">
        <v>123</v>
      </c>
    </row>
    <row r="27">
      <c r="A27" s="31" t="s">
        <v>134</v>
      </c>
      <c r="B27" s="51" t="s">
        <v>135</v>
      </c>
      <c r="C27" s="51" t="s">
        <v>136</v>
      </c>
      <c r="D27" s="52" t="s">
        <v>137</v>
      </c>
      <c r="E27" s="52" t="s">
        <v>138</v>
      </c>
      <c r="F27" s="53">
        <v>0.4548611111111111</v>
      </c>
      <c r="G27" s="31" t="s">
        <v>139</v>
      </c>
    </row>
    <row r="28">
      <c r="A28" s="31" t="s">
        <v>140</v>
      </c>
      <c r="B28" s="51" t="s">
        <v>141</v>
      </c>
      <c r="C28" s="51" t="s">
        <v>142</v>
      </c>
      <c r="D28" s="52" t="s">
        <v>143</v>
      </c>
      <c r="E28" s="52" t="s">
        <v>144</v>
      </c>
      <c r="F28" s="53">
        <v>0.4618055555555556</v>
      </c>
      <c r="G28" s="31" t="s">
        <v>139</v>
      </c>
    </row>
    <row r="29">
      <c r="D29" s="54"/>
      <c r="E29" s="54"/>
    </row>
    <row r="30">
      <c r="A30" s="48" t="s">
        <v>107</v>
      </c>
      <c r="D30" s="54"/>
      <c r="E30" s="54"/>
    </row>
    <row r="31">
      <c r="A31" s="31" t="s">
        <v>106</v>
      </c>
      <c r="B31" s="49" t="s">
        <v>114</v>
      </c>
      <c r="C31" s="49" t="s">
        <v>115</v>
      </c>
      <c r="D31" s="50" t="s">
        <v>116</v>
      </c>
      <c r="E31" s="50" t="s">
        <v>117</v>
      </c>
      <c r="F31" s="41" t="s">
        <v>100</v>
      </c>
    </row>
    <row r="32">
      <c r="A32" s="31" t="s">
        <v>118</v>
      </c>
      <c r="B32" s="51" t="s">
        <v>120</v>
      </c>
      <c r="C32" s="51" t="s">
        <v>136</v>
      </c>
      <c r="D32" s="52" t="s">
        <v>145</v>
      </c>
      <c r="E32" s="52" t="s">
        <v>143</v>
      </c>
      <c r="F32" s="53">
        <v>0.39375</v>
      </c>
    </row>
    <row r="33">
      <c r="A33" s="31" t="s">
        <v>124</v>
      </c>
      <c r="B33" s="51" t="s">
        <v>130</v>
      </c>
      <c r="C33" s="51" t="s">
        <v>119</v>
      </c>
      <c r="D33" s="52" t="s">
        <v>128</v>
      </c>
      <c r="E33" s="52" t="s">
        <v>146</v>
      </c>
      <c r="F33" s="53">
        <v>0.4</v>
      </c>
    </row>
    <row r="34">
      <c r="A34" s="31" t="s">
        <v>129</v>
      </c>
      <c r="B34" s="51" t="s">
        <v>131</v>
      </c>
      <c r="C34" s="51" t="s">
        <v>125</v>
      </c>
      <c r="D34" s="52" t="s">
        <v>121</v>
      </c>
      <c r="E34" s="52" t="s">
        <v>127</v>
      </c>
      <c r="F34" s="53">
        <v>0.40625</v>
      </c>
    </row>
    <row r="35">
      <c r="A35" s="31" t="s">
        <v>134</v>
      </c>
      <c r="B35" s="51" t="s">
        <v>126</v>
      </c>
      <c r="C35" s="51" t="s">
        <v>141</v>
      </c>
      <c r="D35" s="52" t="s">
        <v>122</v>
      </c>
      <c r="E35" s="52" t="s">
        <v>138</v>
      </c>
      <c r="F35" s="53">
        <v>0.4125</v>
      </c>
    </row>
    <row r="36">
      <c r="A36" s="31" t="s">
        <v>140</v>
      </c>
      <c r="B36" s="51" t="s">
        <v>142</v>
      </c>
      <c r="C36" s="51" t="s">
        <v>135</v>
      </c>
      <c r="D36" s="52" t="s">
        <v>132</v>
      </c>
      <c r="E36" s="52" t="s">
        <v>144</v>
      </c>
      <c r="F36" s="53">
        <v>0.41875</v>
      </c>
    </row>
    <row r="37">
      <c r="D37" s="54"/>
      <c r="E37" s="54"/>
    </row>
    <row r="38">
      <c r="A38" s="48" t="s">
        <v>111</v>
      </c>
      <c r="D38" s="54"/>
      <c r="E38" s="54"/>
    </row>
    <row r="39">
      <c r="A39" s="31" t="s">
        <v>110</v>
      </c>
      <c r="B39" s="49" t="s">
        <v>114</v>
      </c>
      <c r="C39" s="49" t="s">
        <v>115</v>
      </c>
      <c r="D39" s="50" t="s">
        <v>116</v>
      </c>
      <c r="E39" s="50" t="s">
        <v>117</v>
      </c>
      <c r="F39" s="41" t="s">
        <v>100</v>
      </c>
    </row>
    <row r="40">
      <c r="A40" s="31" t="s">
        <v>118</v>
      </c>
      <c r="B40" s="51" t="s">
        <v>119</v>
      </c>
      <c r="C40" s="51" t="s">
        <v>141</v>
      </c>
      <c r="D40" s="52" t="s">
        <v>127</v>
      </c>
      <c r="E40" s="52" t="s">
        <v>138</v>
      </c>
      <c r="F40" s="53">
        <v>0.4375</v>
      </c>
    </row>
    <row r="41">
      <c r="A41" s="31" t="s">
        <v>124</v>
      </c>
      <c r="B41" s="51" t="s">
        <v>125</v>
      </c>
      <c r="C41" s="51" t="s">
        <v>136</v>
      </c>
      <c r="D41" s="52" t="s">
        <v>122</v>
      </c>
      <c r="E41" s="52" t="s">
        <v>146</v>
      </c>
      <c r="F41" s="53">
        <v>0.44375</v>
      </c>
    </row>
    <row r="42">
      <c r="A42" s="31" t="s">
        <v>129</v>
      </c>
      <c r="B42" s="51" t="s">
        <v>130</v>
      </c>
      <c r="C42" s="51" t="s">
        <v>142</v>
      </c>
      <c r="D42" s="52" t="s">
        <v>121</v>
      </c>
      <c r="E42" s="52" t="s">
        <v>144</v>
      </c>
      <c r="F42" s="53">
        <v>0.45</v>
      </c>
    </row>
    <row r="43">
      <c r="A43" s="31" t="s">
        <v>134</v>
      </c>
      <c r="B43" s="51" t="s">
        <v>131</v>
      </c>
      <c r="C43" s="51" t="s">
        <v>135</v>
      </c>
      <c r="D43" s="52" t="s">
        <v>128</v>
      </c>
      <c r="E43" s="52" t="s">
        <v>145</v>
      </c>
      <c r="F43" s="53">
        <v>0.45625</v>
      </c>
    </row>
    <row r="44">
      <c r="A44" s="31" t="s">
        <v>140</v>
      </c>
      <c r="B44" s="51" t="s">
        <v>120</v>
      </c>
      <c r="C44" s="51" t="s">
        <v>126</v>
      </c>
      <c r="D44" s="52" t="s">
        <v>143</v>
      </c>
      <c r="E44" s="52" t="s">
        <v>132</v>
      </c>
      <c r="F44" s="53">
        <v>0.4625</v>
      </c>
    </row>
    <row r="86">
      <c r="A86" s="43" t="s">
        <v>147</v>
      </c>
      <c r="B86" s="41" t="s">
        <v>148</v>
      </c>
      <c r="C86" s="31" t="s">
        <v>149</v>
      </c>
      <c r="D86" s="31" t="s">
        <v>150</v>
      </c>
      <c r="E86" s="31" t="s">
        <v>151</v>
      </c>
    </row>
    <row r="87">
      <c r="A87" s="44" t="s">
        <v>77</v>
      </c>
      <c r="B87" s="44" t="s">
        <v>72</v>
      </c>
      <c r="C87" s="45" t="str">
        <f t="shared" ref="C87:C106" si="1">B87&amp;" ("&amp;D87&amp;")"</f>
        <v>Jordan (-1)</v>
      </c>
      <c r="D87" s="45">
        <v>-1.0</v>
      </c>
      <c r="E87" s="46" t="s">
        <v>73</v>
      </c>
    </row>
    <row r="88">
      <c r="A88" s="44" t="s">
        <v>77</v>
      </c>
      <c r="B88" s="44" t="s">
        <v>77</v>
      </c>
      <c r="C88" s="45" t="str">
        <f t="shared" si="1"/>
        <v>Walt (-2)</v>
      </c>
      <c r="D88" s="45">
        <v>-2.0</v>
      </c>
      <c r="E88" s="46" t="s">
        <v>73</v>
      </c>
    </row>
    <row r="89">
      <c r="A89" s="44" t="s">
        <v>77</v>
      </c>
      <c r="B89" s="44" t="s">
        <v>82</v>
      </c>
      <c r="C89" s="45" t="str">
        <f t="shared" si="1"/>
        <v>Simon (-4)</v>
      </c>
      <c r="D89" s="45">
        <v>-4.0</v>
      </c>
      <c r="E89" s="46" t="s">
        <v>73</v>
      </c>
    </row>
    <row r="90">
      <c r="A90" s="44" t="s">
        <v>77</v>
      </c>
      <c r="B90" s="44" t="s">
        <v>84</v>
      </c>
      <c r="C90" s="45" t="str">
        <f t="shared" si="1"/>
        <v>Scott (-6)</v>
      </c>
      <c r="D90" s="45">
        <v>-6.0</v>
      </c>
      <c r="E90" s="46" t="s">
        <v>79</v>
      </c>
    </row>
    <row r="91">
      <c r="A91" s="44" t="s">
        <v>77</v>
      </c>
      <c r="B91" s="44" t="s">
        <v>86</v>
      </c>
      <c r="C91" s="45" t="str">
        <f t="shared" si="1"/>
        <v>Brian (-8)</v>
      </c>
      <c r="D91" s="45">
        <v>-8.0</v>
      </c>
      <c r="E91" s="46" t="s">
        <v>79</v>
      </c>
    </row>
    <row r="92">
      <c r="A92" s="44" t="s">
        <v>77</v>
      </c>
      <c r="B92" s="44" t="s">
        <v>60</v>
      </c>
      <c r="C92" s="45" t="str">
        <f t="shared" si="1"/>
        <v>Eddie (-10)</v>
      </c>
      <c r="D92" s="45">
        <v>-10.0</v>
      </c>
      <c r="E92" s="46" t="s">
        <v>79</v>
      </c>
    </row>
    <row r="93">
      <c r="A93" s="44" t="s">
        <v>77</v>
      </c>
      <c r="B93" s="44" t="s">
        <v>89</v>
      </c>
      <c r="C93" s="45" t="str">
        <f t="shared" si="1"/>
        <v>Martin (-16)</v>
      </c>
      <c r="D93" s="45">
        <v>-16.0</v>
      </c>
      <c r="E93" s="46" t="s">
        <v>79</v>
      </c>
    </row>
    <row r="94">
      <c r="A94" s="44" t="s">
        <v>77</v>
      </c>
      <c r="B94" s="44" t="s">
        <v>92</v>
      </c>
      <c r="C94" s="45" t="str">
        <f t="shared" si="1"/>
        <v>James (-17)</v>
      </c>
      <c r="D94" s="45">
        <v>-17.0</v>
      </c>
      <c r="E94" s="46" t="s">
        <v>79</v>
      </c>
    </row>
    <row r="95">
      <c r="A95" s="44" t="s">
        <v>77</v>
      </c>
      <c r="B95" s="44" t="s">
        <v>94</v>
      </c>
      <c r="C95" s="45" t="str">
        <f t="shared" si="1"/>
        <v>Dan (-24)</v>
      </c>
      <c r="D95" s="45">
        <v>-24.0</v>
      </c>
      <c r="E95" s="46" t="s">
        <v>79</v>
      </c>
    </row>
    <row r="96">
      <c r="A96" s="44" t="s">
        <v>77</v>
      </c>
      <c r="B96" s="44" t="s">
        <v>96</v>
      </c>
      <c r="C96" s="45" t="str">
        <f t="shared" si="1"/>
        <v>Nate (-32)</v>
      </c>
      <c r="D96" s="45">
        <v>-32.0</v>
      </c>
      <c r="E96" s="46" t="s">
        <v>79</v>
      </c>
    </row>
    <row r="97">
      <c r="A97" s="44" t="s">
        <v>74</v>
      </c>
      <c r="B97" s="44" t="s">
        <v>74</v>
      </c>
      <c r="C97" s="45" t="str">
        <f t="shared" si="1"/>
        <v>Ryan (1)</v>
      </c>
      <c r="D97" s="45">
        <v>1.0</v>
      </c>
      <c r="E97" s="46" t="s">
        <v>73</v>
      </c>
    </row>
    <row r="98">
      <c r="A98" s="44" t="s">
        <v>74</v>
      </c>
      <c r="B98" s="44" t="s">
        <v>78</v>
      </c>
      <c r="C98" s="45" t="str">
        <f t="shared" si="1"/>
        <v>Preston (-5)</v>
      </c>
      <c r="D98" s="45">
        <v>-5.0</v>
      </c>
      <c r="E98" s="46" t="s">
        <v>79</v>
      </c>
    </row>
    <row r="99">
      <c r="A99" s="44" t="s">
        <v>74</v>
      </c>
      <c r="B99" s="44" t="s">
        <v>83</v>
      </c>
      <c r="C99" s="45" t="str">
        <f t="shared" si="1"/>
        <v>Tom (-7)</v>
      </c>
      <c r="D99" s="45">
        <v>-7.0</v>
      </c>
      <c r="E99" s="46" t="s">
        <v>79</v>
      </c>
    </row>
    <row r="100">
      <c r="A100" s="44" t="s">
        <v>74</v>
      </c>
      <c r="B100" s="44" t="s">
        <v>85</v>
      </c>
      <c r="C100" s="45" t="str">
        <f t="shared" si="1"/>
        <v>Seth (-7)</v>
      </c>
      <c r="D100" s="45">
        <v>-7.0</v>
      </c>
      <c r="E100" s="46" t="s">
        <v>79</v>
      </c>
    </row>
    <row r="101">
      <c r="A101" s="44" t="s">
        <v>74</v>
      </c>
      <c r="B101" s="44" t="s">
        <v>87</v>
      </c>
      <c r="C101" s="45" t="str">
        <f t="shared" si="1"/>
        <v>Russ (-9)</v>
      </c>
      <c r="D101" s="45">
        <v>-9.0</v>
      </c>
      <c r="E101" s="46" t="s">
        <v>73</v>
      </c>
    </row>
    <row r="102">
      <c r="A102" s="44" t="s">
        <v>74</v>
      </c>
      <c r="B102" s="44" t="s">
        <v>88</v>
      </c>
      <c r="C102" s="45" t="str">
        <f t="shared" si="1"/>
        <v>Jon (-13)</v>
      </c>
      <c r="D102" s="45">
        <v>-13.0</v>
      </c>
      <c r="E102" s="46" t="s">
        <v>79</v>
      </c>
    </row>
    <row r="103">
      <c r="A103" s="44" t="s">
        <v>74</v>
      </c>
      <c r="B103" s="44" t="s">
        <v>90</v>
      </c>
      <c r="C103" s="45" t="str">
        <f t="shared" si="1"/>
        <v>Mark (-16)</v>
      </c>
      <c r="D103" s="45">
        <v>-16.0</v>
      </c>
      <c r="E103" s="46" t="s">
        <v>91</v>
      </c>
    </row>
    <row r="104">
      <c r="A104" s="44" t="s">
        <v>74</v>
      </c>
      <c r="B104" s="44" t="s">
        <v>93</v>
      </c>
      <c r="C104" s="45" t="str">
        <f t="shared" si="1"/>
        <v>Jonah (-17)</v>
      </c>
      <c r="D104" s="45">
        <v>-17.0</v>
      </c>
      <c r="E104" s="46" t="s">
        <v>79</v>
      </c>
    </row>
    <row r="105">
      <c r="A105" s="44" t="s">
        <v>74</v>
      </c>
      <c r="B105" s="44" t="s">
        <v>95</v>
      </c>
      <c r="C105" s="45" t="str">
        <f t="shared" si="1"/>
        <v>Cam (-19)</v>
      </c>
      <c r="D105" s="45">
        <v>-19.0</v>
      </c>
      <c r="E105" s="46" t="s">
        <v>79</v>
      </c>
    </row>
    <row r="106">
      <c r="A106" s="44" t="s">
        <v>74</v>
      </c>
      <c r="B106" s="44" t="s">
        <v>97</v>
      </c>
      <c r="C106" s="45" t="str">
        <f t="shared" si="1"/>
        <v>Josh (-34)</v>
      </c>
      <c r="D106" s="45">
        <v>-34.0</v>
      </c>
      <c r="E106" s="46" t="s">
        <v>79</v>
      </c>
    </row>
  </sheetData>
  <hyperlinks>
    <hyperlink r:id="rId1" ref="K3"/>
    <hyperlink r:id="rId2" ref="K4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5"/>
    <col customWidth="1" min="2" max="2" width="7.0"/>
    <col customWidth="1" min="3" max="3" width="11.88"/>
    <col customWidth="1" min="4" max="4" width="8.75"/>
    <col customWidth="1" min="5" max="5" width="9.38"/>
    <col customWidth="1" min="6" max="6" width="9.25"/>
    <col customWidth="1" min="7" max="7" width="8.63"/>
    <col customWidth="1" min="8" max="25" width="4.88"/>
  </cols>
  <sheetData>
    <row r="1">
      <c r="A1" s="55"/>
      <c r="B1" s="56" t="s">
        <v>103</v>
      </c>
      <c r="C1" s="57"/>
      <c r="D1" s="57" t="s">
        <v>152</v>
      </c>
      <c r="E1" s="58">
        <v>4.0</v>
      </c>
      <c r="F1" s="58">
        <v>4.0</v>
      </c>
      <c r="G1" s="58">
        <v>4.0</v>
      </c>
      <c r="H1" s="58">
        <v>3.0</v>
      </c>
      <c r="I1" s="58">
        <v>4.0</v>
      </c>
      <c r="J1" s="58">
        <v>4.0</v>
      </c>
      <c r="K1" s="58">
        <v>5.0</v>
      </c>
      <c r="L1" s="58">
        <v>3.0</v>
      </c>
      <c r="M1" s="58">
        <v>5.0</v>
      </c>
      <c r="N1" s="59">
        <f>sum(E1:M1)</f>
        <v>36</v>
      </c>
      <c r="O1" s="58">
        <v>4.0</v>
      </c>
      <c r="P1" s="58">
        <v>4.0</v>
      </c>
      <c r="Q1" s="58">
        <v>3.0</v>
      </c>
      <c r="R1" s="58">
        <v>4.0</v>
      </c>
      <c r="S1" s="58">
        <v>5.0</v>
      </c>
      <c r="T1" s="58">
        <v>4.0</v>
      </c>
      <c r="U1" s="58">
        <v>4.0</v>
      </c>
      <c r="V1" s="58">
        <v>3.0</v>
      </c>
      <c r="W1" s="58">
        <v>4.0</v>
      </c>
      <c r="X1" s="59">
        <f>sum(O1:W1)</f>
        <v>35</v>
      </c>
      <c r="Y1" s="59">
        <f>N1+X1</f>
        <v>71</v>
      </c>
    </row>
    <row r="2">
      <c r="A2" s="55"/>
      <c r="B2" s="55"/>
      <c r="C2" s="57"/>
      <c r="D2" s="57" t="s">
        <v>153</v>
      </c>
      <c r="E2" s="58">
        <v>7.0</v>
      </c>
      <c r="F2" s="58">
        <v>3.0</v>
      </c>
      <c r="G2" s="58">
        <v>1.0</v>
      </c>
      <c r="H2" s="58">
        <v>17.0</v>
      </c>
      <c r="I2" s="58">
        <v>5.0</v>
      </c>
      <c r="J2" s="58">
        <v>13.0</v>
      </c>
      <c r="K2" s="58">
        <v>11.0</v>
      </c>
      <c r="L2" s="58">
        <v>15.0</v>
      </c>
      <c r="M2" s="58">
        <v>9.0</v>
      </c>
      <c r="N2" s="55"/>
      <c r="O2" s="58">
        <v>8.0</v>
      </c>
      <c r="P2" s="58">
        <v>2.0</v>
      </c>
      <c r="Q2" s="58">
        <v>18.0</v>
      </c>
      <c r="R2" s="58">
        <v>10.0</v>
      </c>
      <c r="S2" s="58">
        <v>4.0</v>
      </c>
      <c r="T2" s="58">
        <v>6.0</v>
      </c>
      <c r="U2" s="58">
        <v>12.0</v>
      </c>
      <c r="V2" s="58">
        <v>16.0</v>
      </c>
      <c r="W2" s="58">
        <v>14.0</v>
      </c>
      <c r="X2" s="55"/>
      <c r="Y2" s="55"/>
    </row>
    <row r="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>
      <c r="A4" s="60" t="s">
        <v>154</v>
      </c>
      <c r="B4" s="60" t="s">
        <v>147</v>
      </c>
      <c r="C4" s="61" t="s">
        <v>2</v>
      </c>
      <c r="D4" s="62" t="s">
        <v>67</v>
      </c>
      <c r="E4" s="60">
        <v>1.0</v>
      </c>
      <c r="F4" s="60">
        <v>2.0</v>
      </c>
      <c r="G4" s="60">
        <v>3.0</v>
      </c>
      <c r="H4" s="60">
        <v>4.0</v>
      </c>
      <c r="I4" s="60">
        <v>5.0</v>
      </c>
      <c r="J4" s="60">
        <v>6.0</v>
      </c>
      <c r="K4" s="60">
        <v>7.0</v>
      </c>
      <c r="L4" s="60">
        <v>8.0</v>
      </c>
      <c r="M4" s="60">
        <v>9.0</v>
      </c>
      <c r="N4" s="60" t="s">
        <v>91</v>
      </c>
      <c r="O4" s="60">
        <v>10.0</v>
      </c>
      <c r="P4" s="60">
        <v>11.0</v>
      </c>
      <c r="Q4" s="60">
        <v>12.0</v>
      </c>
      <c r="R4" s="60">
        <v>13.0</v>
      </c>
      <c r="S4" s="60">
        <v>14.0</v>
      </c>
      <c r="T4" s="60">
        <v>15.0</v>
      </c>
      <c r="U4" s="60">
        <v>16.0</v>
      </c>
      <c r="V4" s="60">
        <v>17.0</v>
      </c>
      <c r="W4" s="60">
        <v>18.0</v>
      </c>
      <c r="X4" s="60" t="s">
        <v>73</v>
      </c>
      <c r="Y4" s="60" t="s">
        <v>35</v>
      </c>
    </row>
    <row r="5">
      <c r="A5" s="63">
        <v>1.1</v>
      </c>
      <c r="B5" s="64" t="s">
        <v>77</v>
      </c>
      <c r="C5" s="64" t="s">
        <v>77</v>
      </c>
      <c r="D5" s="65">
        <f>vlookup(C5,'CGI Finale Teams'!$B$87:$D$106,3,false)</f>
        <v>-2</v>
      </c>
      <c r="E5" s="66">
        <v>3.0</v>
      </c>
      <c r="F5" s="66">
        <v>4.0</v>
      </c>
      <c r="G5" s="66">
        <v>4.0</v>
      </c>
      <c r="H5" s="66">
        <v>3.0</v>
      </c>
      <c r="I5" s="66">
        <v>4.0</v>
      </c>
      <c r="J5" s="66">
        <v>4.0</v>
      </c>
      <c r="K5" s="66">
        <v>8.0</v>
      </c>
      <c r="L5" s="66">
        <v>4.0</v>
      </c>
      <c r="M5" s="66">
        <v>6.0</v>
      </c>
      <c r="N5" s="65">
        <f t="shared" ref="N5:N24" si="1">sum(E5:M5)</f>
        <v>40</v>
      </c>
      <c r="O5" s="66">
        <v>5.0</v>
      </c>
      <c r="P5" s="66">
        <v>7.0</v>
      </c>
      <c r="Q5" s="66">
        <v>2.0</v>
      </c>
      <c r="R5" s="66">
        <v>4.0</v>
      </c>
      <c r="S5" s="66">
        <v>4.0</v>
      </c>
      <c r="T5" s="66">
        <v>6.0</v>
      </c>
      <c r="U5" s="66">
        <v>6.0</v>
      </c>
      <c r="V5" s="66">
        <v>4.0</v>
      </c>
      <c r="W5" s="66">
        <v>5.0</v>
      </c>
      <c r="X5" s="65">
        <f t="shared" ref="X5:X24" si="2">sum(O5:W5)</f>
        <v>43</v>
      </c>
      <c r="Y5" s="65">
        <f t="shared" ref="Y5:Y24" si="3">N5+X5</f>
        <v>83</v>
      </c>
      <c r="Z5" s="31" t="s">
        <v>155</v>
      </c>
    </row>
    <row r="6">
      <c r="A6" s="63">
        <v>1.2</v>
      </c>
      <c r="B6" s="64" t="s">
        <v>77</v>
      </c>
      <c r="C6" s="64" t="s">
        <v>60</v>
      </c>
      <c r="D6" s="65">
        <f>vlookup(C6,'CGI Finale Teams'!$B$87:$D$106,3,false)</f>
        <v>-10</v>
      </c>
      <c r="E6" s="66">
        <v>5.0</v>
      </c>
      <c r="F6" s="66">
        <v>6.0</v>
      </c>
      <c r="G6" s="66">
        <v>6.0</v>
      </c>
      <c r="H6" s="66">
        <v>5.0</v>
      </c>
      <c r="I6" s="66">
        <v>5.0</v>
      </c>
      <c r="J6" s="66">
        <v>4.0</v>
      </c>
      <c r="K6" s="66">
        <v>8.0</v>
      </c>
      <c r="L6" s="66">
        <v>4.0</v>
      </c>
      <c r="M6" s="66">
        <v>6.0</v>
      </c>
      <c r="N6" s="65">
        <f t="shared" si="1"/>
        <v>49</v>
      </c>
      <c r="O6" s="66">
        <v>6.0</v>
      </c>
      <c r="P6" s="66">
        <v>4.0</v>
      </c>
      <c r="Q6" s="66">
        <v>4.0</v>
      </c>
      <c r="R6" s="66">
        <v>4.0</v>
      </c>
      <c r="S6" s="66">
        <v>5.0</v>
      </c>
      <c r="T6" s="66">
        <v>7.0</v>
      </c>
      <c r="U6" s="66">
        <v>6.0</v>
      </c>
      <c r="V6" s="66">
        <v>4.0</v>
      </c>
      <c r="W6" s="66">
        <v>7.0</v>
      </c>
      <c r="X6" s="65">
        <f t="shared" si="2"/>
        <v>47</v>
      </c>
      <c r="Y6" s="65">
        <f t="shared" si="3"/>
        <v>96</v>
      </c>
    </row>
    <row r="7">
      <c r="A7" s="63">
        <v>1.3</v>
      </c>
      <c r="B7" s="67" t="s">
        <v>74</v>
      </c>
      <c r="C7" s="64" t="s">
        <v>74</v>
      </c>
      <c r="D7" s="65">
        <f>vlookup(C7,'CGI Finale Teams'!$B$87:$D$106,3,false)</f>
        <v>1</v>
      </c>
      <c r="E7" s="66">
        <v>4.0</v>
      </c>
      <c r="F7" s="66">
        <v>4.0</v>
      </c>
      <c r="G7" s="66">
        <v>3.0</v>
      </c>
      <c r="H7" s="66">
        <v>3.0</v>
      </c>
      <c r="I7" s="66">
        <v>5.0</v>
      </c>
      <c r="J7" s="66">
        <v>6.0</v>
      </c>
      <c r="K7" s="66">
        <v>5.0</v>
      </c>
      <c r="L7" s="66">
        <v>3.0</v>
      </c>
      <c r="M7" s="66">
        <v>6.0</v>
      </c>
      <c r="N7" s="65">
        <f t="shared" si="1"/>
        <v>39</v>
      </c>
      <c r="O7" s="66">
        <v>3.0</v>
      </c>
      <c r="P7" s="66">
        <v>3.0</v>
      </c>
      <c r="Q7" s="66">
        <v>3.0</v>
      </c>
      <c r="R7" s="66">
        <v>5.0</v>
      </c>
      <c r="S7" s="66">
        <v>4.0</v>
      </c>
      <c r="T7" s="66">
        <v>4.0</v>
      </c>
      <c r="U7" s="66">
        <v>3.0</v>
      </c>
      <c r="V7" s="66">
        <v>3.0</v>
      </c>
      <c r="W7" s="66">
        <v>5.0</v>
      </c>
      <c r="X7" s="65">
        <f t="shared" si="2"/>
        <v>33</v>
      </c>
      <c r="Y7" s="65">
        <f t="shared" si="3"/>
        <v>72</v>
      </c>
      <c r="Z7" s="31" t="s">
        <v>156</v>
      </c>
    </row>
    <row r="8">
      <c r="A8" s="63">
        <v>1.4</v>
      </c>
      <c r="B8" s="67" t="s">
        <v>74</v>
      </c>
      <c r="C8" s="64" t="s">
        <v>78</v>
      </c>
      <c r="D8" s="65">
        <f>vlookup(C8,'CGI Finale Teams'!$B$87:$D$106,3,false)</f>
        <v>-5</v>
      </c>
      <c r="E8" s="66">
        <v>5.0</v>
      </c>
      <c r="F8" s="66">
        <v>7.0</v>
      </c>
      <c r="G8" s="66">
        <v>5.0</v>
      </c>
      <c r="H8" s="66">
        <v>3.0</v>
      </c>
      <c r="I8" s="66">
        <v>6.0</v>
      </c>
      <c r="J8" s="66">
        <v>5.0</v>
      </c>
      <c r="K8" s="66">
        <v>6.0</v>
      </c>
      <c r="L8" s="66">
        <v>4.0</v>
      </c>
      <c r="M8" s="66">
        <v>8.0</v>
      </c>
      <c r="N8" s="65">
        <f t="shared" si="1"/>
        <v>49</v>
      </c>
      <c r="O8" s="66">
        <v>5.0</v>
      </c>
      <c r="P8" s="66">
        <v>5.0</v>
      </c>
      <c r="Q8" s="66">
        <v>3.0</v>
      </c>
      <c r="R8" s="66">
        <v>4.0</v>
      </c>
      <c r="S8" s="66">
        <v>6.0</v>
      </c>
      <c r="T8" s="66">
        <v>5.0</v>
      </c>
      <c r="U8" s="66">
        <v>6.0</v>
      </c>
      <c r="V8" s="66">
        <v>5.0</v>
      </c>
      <c r="W8" s="66">
        <v>4.0</v>
      </c>
      <c r="X8" s="65">
        <f t="shared" si="2"/>
        <v>43</v>
      </c>
      <c r="Y8" s="65">
        <f t="shared" si="3"/>
        <v>92</v>
      </c>
    </row>
    <row r="9">
      <c r="A9" s="63">
        <v>2.1</v>
      </c>
      <c r="B9" s="64" t="s">
        <v>77</v>
      </c>
      <c r="C9" s="64" t="s">
        <v>72</v>
      </c>
      <c r="D9" s="65">
        <f>vlookup(C9,'CGI Finale Teams'!$B$87:$D$106,3,false)</f>
        <v>-1</v>
      </c>
      <c r="E9" s="66">
        <v>4.0</v>
      </c>
      <c r="F9" s="66">
        <v>5.0</v>
      </c>
      <c r="G9" s="66">
        <v>6.0</v>
      </c>
      <c r="H9" s="66">
        <v>3.0</v>
      </c>
      <c r="I9" s="66">
        <v>5.0</v>
      </c>
      <c r="J9" s="66">
        <v>4.0</v>
      </c>
      <c r="K9" s="66">
        <v>5.0</v>
      </c>
      <c r="L9" s="66">
        <v>2.0</v>
      </c>
      <c r="M9" s="66">
        <v>5.0</v>
      </c>
      <c r="N9" s="65">
        <f t="shared" si="1"/>
        <v>39</v>
      </c>
      <c r="O9" s="66">
        <v>4.0</v>
      </c>
      <c r="P9" s="66">
        <v>6.0</v>
      </c>
      <c r="Q9" s="66">
        <v>4.0</v>
      </c>
      <c r="R9" s="66">
        <v>4.0</v>
      </c>
      <c r="S9" s="66">
        <v>6.0</v>
      </c>
      <c r="T9" s="66">
        <v>5.0</v>
      </c>
      <c r="U9" s="66">
        <v>6.0</v>
      </c>
      <c r="V9" s="66">
        <v>3.0</v>
      </c>
      <c r="W9" s="66">
        <v>5.0</v>
      </c>
      <c r="X9" s="65">
        <f t="shared" si="2"/>
        <v>43</v>
      </c>
      <c r="Y9" s="65">
        <f t="shared" si="3"/>
        <v>82</v>
      </c>
      <c r="Z9" s="31" t="s">
        <v>156</v>
      </c>
    </row>
    <row r="10">
      <c r="A10" s="63">
        <v>2.2</v>
      </c>
      <c r="B10" s="64" t="s">
        <v>77</v>
      </c>
      <c r="C10" s="64" t="s">
        <v>84</v>
      </c>
      <c r="D10" s="65">
        <f>vlookup(C10,'CGI Finale Teams'!$B$87:$D$106,3,false)</f>
        <v>-6</v>
      </c>
      <c r="E10" s="66">
        <v>5.0</v>
      </c>
      <c r="F10" s="66">
        <v>5.0</v>
      </c>
      <c r="G10" s="66">
        <v>4.0</v>
      </c>
      <c r="H10" s="66">
        <v>3.0</v>
      </c>
      <c r="I10" s="66">
        <v>4.0</v>
      </c>
      <c r="J10" s="66">
        <v>5.0</v>
      </c>
      <c r="K10" s="66">
        <v>5.0</v>
      </c>
      <c r="L10" s="66">
        <v>4.0</v>
      </c>
      <c r="M10" s="66">
        <v>5.0</v>
      </c>
      <c r="N10" s="65">
        <f t="shared" si="1"/>
        <v>40</v>
      </c>
      <c r="O10" s="66">
        <v>6.0</v>
      </c>
      <c r="P10" s="66">
        <v>5.0</v>
      </c>
      <c r="Q10" s="66">
        <v>3.0</v>
      </c>
      <c r="R10" s="66">
        <v>5.0</v>
      </c>
      <c r="S10" s="66">
        <v>6.0</v>
      </c>
      <c r="T10" s="66">
        <v>6.0</v>
      </c>
      <c r="U10" s="66">
        <v>7.0</v>
      </c>
      <c r="V10" s="66">
        <v>4.0</v>
      </c>
      <c r="W10" s="66">
        <v>5.0</v>
      </c>
      <c r="X10" s="65">
        <f t="shared" si="2"/>
        <v>47</v>
      </c>
      <c r="Y10" s="65">
        <f t="shared" si="3"/>
        <v>87</v>
      </c>
    </row>
    <row r="11">
      <c r="A11" s="63">
        <v>2.3</v>
      </c>
      <c r="B11" s="67" t="s">
        <v>74</v>
      </c>
      <c r="C11" s="64" t="s">
        <v>83</v>
      </c>
      <c r="D11" s="65">
        <f>vlookup(C11,'CGI Finale Teams'!$B$87:$D$106,3,false)</f>
        <v>-7</v>
      </c>
      <c r="E11" s="66">
        <v>3.0</v>
      </c>
      <c r="F11" s="66">
        <v>6.0</v>
      </c>
      <c r="G11" s="66">
        <v>5.0</v>
      </c>
      <c r="H11" s="66">
        <v>3.0</v>
      </c>
      <c r="I11" s="66">
        <v>6.0</v>
      </c>
      <c r="J11" s="66">
        <v>4.0</v>
      </c>
      <c r="K11" s="66">
        <v>6.0</v>
      </c>
      <c r="L11" s="66">
        <v>4.0</v>
      </c>
      <c r="M11" s="66">
        <v>5.0</v>
      </c>
      <c r="N11" s="65">
        <f t="shared" si="1"/>
        <v>42</v>
      </c>
      <c r="O11" s="66">
        <v>5.0</v>
      </c>
      <c r="P11" s="66">
        <v>4.0</v>
      </c>
      <c r="Q11" s="66">
        <v>4.0</v>
      </c>
      <c r="R11" s="66">
        <v>4.0</v>
      </c>
      <c r="S11" s="66">
        <v>5.0</v>
      </c>
      <c r="T11" s="66">
        <v>4.0</v>
      </c>
      <c r="U11" s="66">
        <v>7.0</v>
      </c>
      <c r="V11" s="66">
        <v>4.0</v>
      </c>
      <c r="W11" s="66">
        <v>4.0</v>
      </c>
      <c r="X11" s="65">
        <f t="shared" si="2"/>
        <v>41</v>
      </c>
      <c r="Y11" s="65">
        <f t="shared" si="3"/>
        <v>83</v>
      </c>
      <c r="Z11" s="31" t="s">
        <v>155</v>
      </c>
    </row>
    <row r="12">
      <c r="A12" s="63">
        <v>2.4</v>
      </c>
      <c r="B12" s="67" t="s">
        <v>74</v>
      </c>
      <c r="C12" s="64" t="s">
        <v>85</v>
      </c>
      <c r="D12" s="65">
        <f>vlookup(C12,'CGI Finale Teams'!$B$87:$D$106,3,false)</f>
        <v>-7</v>
      </c>
      <c r="E12" s="66">
        <v>5.0</v>
      </c>
      <c r="F12" s="66">
        <v>5.0</v>
      </c>
      <c r="G12" s="66">
        <v>5.0</v>
      </c>
      <c r="H12" s="66">
        <v>5.0</v>
      </c>
      <c r="I12" s="66">
        <v>5.0</v>
      </c>
      <c r="J12" s="66">
        <v>4.0</v>
      </c>
      <c r="K12" s="66">
        <v>6.0</v>
      </c>
      <c r="L12" s="66">
        <v>4.0</v>
      </c>
      <c r="M12" s="66">
        <v>5.0</v>
      </c>
      <c r="N12" s="65">
        <f t="shared" si="1"/>
        <v>44</v>
      </c>
      <c r="O12" s="66">
        <v>6.0</v>
      </c>
      <c r="P12" s="66">
        <v>5.0</v>
      </c>
      <c r="Q12" s="66">
        <v>4.0</v>
      </c>
      <c r="R12" s="66">
        <v>5.0</v>
      </c>
      <c r="S12" s="66">
        <v>6.0</v>
      </c>
      <c r="T12" s="66">
        <v>5.0</v>
      </c>
      <c r="U12" s="66">
        <v>6.0</v>
      </c>
      <c r="V12" s="66">
        <v>4.0</v>
      </c>
      <c r="W12" s="66">
        <v>4.0</v>
      </c>
      <c r="X12" s="65">
        <f t="shared" si="2"/>
        <v>45</v>
      </c>
      <c r="Y12" s="65">
        <f t="shared" si="3"/>
        <v>89</v>
      </c>
    </row>
    <row r="13">
      <c r="A13" s="63">
        <v>3.1</v>
      </c>
      <c r="B13" s="64" t="s">
        <v>77</v>
      </c>
      <c r="C13" s="64" t="s">
        <v>82</v>
      </c>
      <c r="D13" s="65">
        <f>vlookup(C13,'CGI Finale Teams'!$B$87:$D$106,3,false)</f>
        <v>-4</v>
      </c>
      <c r="E13" s="66">
        <v>4.0</v>
      </c>
      <c r="F13" s="66">
        <v>5.0</v>
      </c>
      <c r="G13" s="66">
        <v>4.0</v>
      </c>
      <c r="H13" s="66">
        <v>3.0</v>
      </c>
      <c r="I13" s="66">
        <v>4.0</v>
      </c>
      <c r="J13" s="66">
        <v>4.0</v>
      </c>
      <c r="K13" s="66">
        <v>4.0</v>
      </c>
      <c r="L13" s="66">
        <v>3.0</v>
      </c>
      <c r="M13" s="66">
        <v>6.0</v>
      </c>
      <c r="N13" s="65">
        <f t="shared" si="1"/>
        <v>37</v>
      </c>
      <c r="O13" s="66">
        <v>4.0</v>
      </c>
      <c r="P13" s="66">
        <v>5.0</v>
      </c>
      <c r="Q13" s="66">
        <v>3.0</v>
      </c>
      <c r="R13" s="66">
        <v>4.0</v>
      </c>
      <c r="S13" s="66">
        <v>4.0</v>
      </c>
      <c r="T13" s="66">
        <v>5.0</v>
      </c>
      <c r="U13" s="66">
        <v>5.0</v>
      </c>
      <c r="V13" s="66">
        <v>4.0</v>
      </c>
      <c r="W13" s="66">
        <v>4.0</v>
      </c>
      <c r="X13" s="65">
        <f t="shared" si="2"/>
        <v>38</v>
      </c>
      <c r="Y13" s="65">
        <f t="shared" si="3"/>
        <v>75</v>
      </c>
      <c r="Z13" s="31" t="s">
        <v>156</v>
      </c>
    </row>
    <row r="14">
      <c r="A14" s="63">
        <v>3.2</v>
      </c>
      <c r="B14" s="64" t="s">
        <v>77</v>
      </c>
      <c r="C14" s="64" t="s">
        <v>86</v>
      </c>
      <c r="D14" s="65">
        <f>vlookup(C14,'CGI Finale Teams'!$B$87:$D$106,3,false)</f>
        <v>-8</v>
      </c>
      <c r="E14" s="66">
        <v>4.0</v>
      </c>
      <c r="F14" s="66">
        <v>5.0</v>
      </c>
      <c r="G14" s="66">
        <v>5.0</v>
      </c>
      <c r="H14" s="66">
        <v>4.0</v>
      </c>
      <c r="I14" s="66">
        <v>3.0</v>
      </c>
      <c r="J14" s="66">
        <v>4.0</v>
      </c>
      <c r="K14" s="66">
        <v>6.0</v>
      </c>
      <c r="L14" s="66">
        <v>3.0</v>
      </c>
      <c r="M14" s="66">
        <v>7.0</v>
      </c>
      <c r="N14" s="65">
        <f t="shared" si="1"/>
        <v>41</v>
      </c>
      <c r="O14" s="66">
        <v>5.0</v>
      </c>
      <c r="P14" s="66">
        <v>7.0</v>
      </c>
      <c r="Q14" s="66">
        <v>4.0</v>
      </c>
      <c r="R14" s="66">
        <v>6.0</v>
      </c>
      <c r="S14" s="66">
        <v>5.0</v>
      </c>
      <c r="T14" s="66">
        <v>4.0</v>
      </c>
      <c r="U14" s="66">
        <v>5.0</v>
      </c>
      <c r="V14" s="66">
        <v>4.0</v>
      </c>
      <c r="W14" s="66">
        <v>4.0</v>
      </c>
      <c r="X14" s="65">
        <f t="shared" si="2"/>
        <v>44</v>
      </c>
      <c r="Y14" s="65">
        <f t="shared" si="3"/>
        <v>85</v>
      </c>
    </row>
    <row r="15">
      <c r="A15" s="63">
        <v>3.3</v>
      </c>
      <c r="B15" s="67" t="s">
        <v>74</v>
      </c>
      <c r="C15" s="64" t="s">
        <v>87</v>
      </c>
      <c r="D15" s="65">
        <f>vlookup(C15,'CGI Finale Teams'!$B$87:$D$106,3,false)</f>
        <v>-9</v>
      </c>
      <c r="E15" s="66">
        <v>5.0</v>
      </c>
      <c r="F15" s="66">
        <v>5.0</v>
      </c>
      <c r="G15" s="66">
        <v>4.0</v>
      </c>
      <c r="H15" s="66">
        <v>3.0</v>
      </c>
      <c r="I15" s="66">
        <v>4.0</v>
      </c>
      <c r="J15" s="66">
        <v>4.0</v>
      </c>
      <c r="K15" s="66">
        <v>5.0</v>
      </c>
      <c r="L15" s="66">
        <v>4.0</v>
      </c>
      <c r="M15" s="66">
        <v>7.0</v>
      </c>
      <c r="N15" s="65">
        <f t="shared" si="1"/>
        <v>41</v>
      </c>
      <c r="O15" s="66">
        <v>4.0</v>
      </c>
      <c r="P15" s="66">
        <v>3.0</v>
      </c>
      <c r="Q15" s="66">
        <v>3.0</v>
      </c>
      <c r="R15" s="66">
        <v>4.0</v>
      </c>
      <c r="S15" s="66">
        <v>5.0</v>
      </c>
      <c r="T15" s="66">
        <v>5.0</v>
      </c>
      <c r="U15" s="66">
        <v>4.0</v>
      </c>
      <c r="V15" s="66">
        <v>4.0</v>
      </c>
      <c r="W15" s="66">
        <v>5.0</v>
      </c>
      <c r="X15" s="65">
        <f t="shared" si="2"/>
        <v>37</v>
      </c>
      <c r="Y15" s="65">
        <f t="shared" si="3"/>
        <v>78</v>
      </c>
      <c r="Z15" s="31" t="s">
        <v>155</v>
      </c>
    </row>
    <row r="16">
      <c r="A16" s="63">
        <v>3.4</v>
      </c>
      <c r="B16" s="67" t="s">
        <v>74</v>
      </c>
      <c r="C16" s="64" t="s">
        <v>88</v>
      </c>
      <c r="D16" s="65">
        <f>vlookup(C16,'CGI Finale Teams'!$B$87:$D$106,3,false)</f>
        <v>-13</v>
      </c>
      <c r="E16" s="66">
        <v>4.0</v>
      </c>
      <c r="F16" s="66">
        <v>7.0</v>
      </c>
      <c r="G16" s="66">
        <v>7.0</v>
      </c>
      <c r="H16" s="66">
        <v>5.0</v>
      </c>
      <c r="I16" s="66">
        <v>5.0</v>
      </c>
      <c r="J16" s="66">
        <v>5.0</v>
      </c>
      <c r="K16" s="66">
        <v>8.0</v>
      </c>
      <c r="L16" s="66">
        <v>5.0</v>
      </c>
      <c r="M16" s="66">
        <v>8.0</v>
      </c>
      <c r="N16" s="65">
        <f t="shared" si="1"/>
        <v>54</v>
      </c>
      <c r="O16" s="66">
        <v>5.0</v>
      </c>
      <c r="P16" s="66">
        <v>6.0</v>
      </c>
      <c r="Q16" s="66">
        <v>3.0</v>
      </c>
      <c r="R16" s="66">
        <v>3.0</v>
      </c>
      <c r="S16" s="66">
        <v>6.0</v>
      </c>
      <c r="T16" s="66">
        <v>7.0</v>
      </c>
      <c r="U16" s="66">
        <v>6.0</v>
      </c>
      <c r="V16" s="66">
        <v>3.0</v>
      </c>
      <c r="W16" s="66">
        <v>5.0</v>
      </c>
      <c r="X16" s="65">
        <f t="shared" si="2"/>
        <v>44</v>
      </c>
      <c r="Y16" s="65">
        <f t="shared" si="3"/>
        <v>98</v>
      </c>
    </row>
    <row r="17">
      <c r="A17" s="63">
        <v>4.1</v>
      </c>
      <c r="B17" s="64" t="s">
        <v>77</v>
      </c>
      <c r="C17" s="64" t="s">
        <v>89</v>
      </c>
      <c r="D17" s="65">
        <f>vlookup(C17,'CGI Finale Teams'!$B$87:$D$106,3,false)</f>
        <v>-16</v>
      </c>
      <c r="E17" s="66"/>
      <c r="F17" s="66"/>
      <c r="G17" s="66"/>
      <c r="H17" s="66"/>
      <c r="I17" s="66"/>
      <c r="J17" s="66"/>
      <c r="K17" s="66"/>
      <c r="L17" s="66"/>
      <c r="M17" s="66"/>
      <c r="N17" s="65">
        <f t="shared" si="1"/>
        <v>0</v>
      </c>
      <c r="O17" s="66"/>
      <c r="P17" s="66"/>
      <c r="Q17" s="66"/>
      <c r="R17" s="66"/>
      <c r="S17" s="66"/>
      <c r="T17" s="66"/>
      <c r="U17" s="66"/>
      <c r="V17" s="66"/>
      <c r="W17" s="66"/>
      <c r="X17" s="65">
        <f t="shared" si="2"/>
        <v>0</v>
      </c>
      <c r="Y17" s="65">
        <f t="shared" si="3"/>
        <v>0</v>
      </c>
    </row>
    <row r="18">
      <c r="A18" s="63">
        <v>4.2</v>
      </c>
      <c r="B18" s="64" t="s">
        <v>77</v>
      </c>
      <c r="C18" s="64" t="s">
        <v>92</v>
      </c>
      <c r="D18" s="65">
        <f>vlookup(C18,'CGI Finale Teams'!$B$87:$D$106,3,false)</f>
        <v>-17</v>
      </c>
      <c r="E18" s="66"/>
      <c r="F18" s="66"/>
      <c r="G18" s="66"/>
      <c r="H18" s="66"/>
      <c r="I18" s="66"/>
      <c r="J18" s="66"/>
      <c r="K18" s="66"/>
      <c r="L18" s="66"/>
      <c r="M18" s="66"/>
      <c r="N18" s="65">
        <f t="shared" si="1"/>
        <v>0</v>
      </c>
      <c r="O18" s="66"/>
      <c r="P18" s="66"/>
      <c r="Q18" s="66"/>
      <c r="R18" s="66"/>
      <c r="S18" s="66"/>
      <c r="T18" s="66"/>
      <c r="U18" s="66"/>
      <c r="V18" s="66"/>
      <c r="W18" s="66"/>
      <c r="X18" s="65">
        <f t="shared" si="2"/>
        <v>0</v>
      </c>
      <c r="Y18" s="65">
        <f t="shared" si="3"/>
        <v>0</v>
      </c>
    </row>
    <row r="19">
      <c r="A19" s="63">
        <v>4.3</v>
      </c>
      <c r="B19" s="67" t="s">
        <v>74</v>
      </c>
      <c r="C19" s="64" t="s">
        <v>90</v>
      </c>
      <c r="D19" s="65">
        <f>vlookup(C19,'CGI Finale Teams'!$B$87:$D$106,3,false)</f>
        <v>-16</v>
      </c>
      <c r="E19" s="66"/>
      <c r="F19" s="66"/>
      <c r="G19" s="66"/>
      <c r="H19" s="66"/>
      <c r="I19" s="66"/>
      <c r="J19" s="66"/>
      <c r="K19" s="66"/>
      <c r="L19" s="66"/>
      <c r="M19" s="66"/>
      <c r="N19" s="65">
        <f t="shared" si="1"/>
        <v>0</v>
      </c>
      <c r="O19" s="66"/>
      <c r="P19" s="66"/>
      <c r="Q19" s="66"/>
      <c r="R19" s="66"/>
      <c r="S19" s="66"/>
      <c r="T19" s="66"/>
      <c r="U19" s="66"/>
      <c r="V19" s="66"/>
      <c r="W19" s="66"/>
      <c r="X19" s="65">
        <f t="shared" si="2"/>
        <v>0</v>
      </c>
      <c r="Y19" s="65">
        <f t="shared" si="3"/>
        <v>0</v>
      </c>
      <c r="Z19" s="31" t="s">
        <v>157</v>
      </c>
    </row>
    <row r="20">
      <c r="A20" s="63">
        <v>4.4</v>
      </c>
      <c r="B20" s="67" t="s">
        <v>74</v>
      </c>
      <c r="C20" s="64" t="s">
        <v>95</v>
      </c>
      <c r="D20" s="65">
        <f>vlookup(C20,'CGI Finale Teams'!$B$87:$D$106,3,false)</f>
        <v>-19</v>
      </c>
      <c r="E20" s="66"/>
      <c r="F20" s="66"/>
      <c r="G20" s="66"/>
      <c r="H20" s="66"/>
      <c r="I20" s="66"/>
      <c r="J20" s="66"/>
      <c r="K20" s="66"/>
      <c r="L20" s="66"/>
      <c r="M20" s="66"/>
      <c r="N20" s="65">
        <f t="shared" si="1"/>
        <v>0</v>
      </c>
      <c r="O20" s="66"/>
      <c r="P20" s="66"/>
      <c r="Q20" s="66"/>
      <c r="R20" s="66"/>
      <c r="S20" s="66"/>
      <c r="T20" s="66"/>
      <c r="U20" s="66"/>
      <c r="V20" s="66"/>
      <c r="W20" s="66"/>
      <c r="X20" s="65">
        <f t="shared" si="2"/>
        <v>0</v>
      </c>
      <c r="Y20" s="65">
        <f t="shared" si="3"/>
        <v>0</v>
      </c>
    </row>
    <row r="21">
      <c r="A21" s="63">
        <f t="shared" ref="A21:A24" si="4">A17+1</f>
        <v>5.1</v>
      </c>
      <c r="B21" s="64" t="s">
        <v>77</v>
      </c>
      <c r="C21" s="64" t="s">
        <v>96</v>
      </c>
      <c r="D21" s="65">
        <f>vlookup(C21,'CGI Finale Teams'!$B$87:$D$106,3,false)</f>
        <v>-32</v>
      </c>
      <c r="E21" s="66"/>
      <c r="F21" s="68"/>
      <c r="G21" s="68"/>
      <c r="H21" s="66"/>
      <c r="I21" s="66"/>
      <c r="J21" s="66"/>
      <c r="K21" s="66"/>
      <c r="L21" s="66"/>
      <c r="M21" s="66"/>
      <c r="N21" s="65">
        <f t="shared" si="1"/>
        <v>0</v>
      </c>
      <c r="O21" s="66"/>
      <c r="P21" s="68"/>
      <c r="Q21" s="66"/>
      <c r="R21" s="66"/>
      <c r="S21" s="68"/>
      <c r="T21" s="66"/>
      <c r="U21" s="66"/>
      <c r="V21" s="66"/>
      <c r="W21" s="66"/>
      <c r="X21" s="65">
        <f t="shared" si="2"/>
        <v>0</v>
      </c>
      <c r="Y21" s="65">
        <f t="shared" si="3"/>
        <v>0</v>
      </c>
    </row>
    <row r="22">
      <c r="A22" s="63">
        <f t="shared" si="4"/>
        <v>5.2</v>
      </c>
      <c r="B22" s="64" t="s">
        <v>77</v>
      </c>
      <c r="C22" s="64" t="s">
        <v>94</v>
      </c>
      <c r="D22" s="65">
        <f>vlookup(C22,'CGI Finale Teams'!$B$87:$D$106,3,false)</f>
        <v>-24</v>
      </c>
      <c r="E22" s="66">
        <v>5.0</v>
      </c>
      <c r="F22" s="66">
        <v>5.0</v>
      </c>
      <c r="G22" s="66">
        <v>6.0</v>
      </c>
      <c r="H22" s="66">
        <v>3.0</v>
      </c>
      <c r="I22" s="66">
        <v>6.0</v>
      </c>
      <c r="J22" s="66">
        <v>4.0</v>
      </c>
      <c r="K22" s="66">
        <v>5.0</v>
      </c>
      <c r="L22" s="66">
        <v>6.0</v>
      </c>
      <c r="M22" s="66">
        <v>7.0</v>
      </c>
      <c r="N22" s="65">
        <f t="shared" si="1"/>
        <v>47</v>
      </c>
      <c r="O22" s="66">
        <v>4.0</v>
      </c>
      <c r="P22" s="66">
        <v>6.0</v>
      </c>
      <c r="Q22" s="66">
        <v>4.0</v>
      </c>
      <c r="R22" s="66">
        <v>6.0</v>
      </c>
      <c r="S22" s="66">
        <v>6.0</v>
      </c>
      <c r="T22" s="66">
        <v>4.0</v>
      </c>
      <c r="U22" s="66">
        <v>5.0</v>
      </c>
      <c r="V22" s="66">
        <v>4.0</v>
      </c>
      <c r="W22" s="66">
        <v>4.0</v>
      </c>
      <c r="X22" s="65">
        <f t="shared" si="2"/>
        <v>43</v>
      </c>
      <c r="Y22" s="65">
        <f t="shared" si="3"/>
        <v>90</v>
      </c>
      <c r="Z22" s="31" t="s">
        <v>156</v>
      </c>
    </row>
    <row r="23">
      <c r="A23" s="63">
        <f t="shared" si="4"/>
        <v>5.3</v>
      </c>
      <c r="B23" s="67" t="s">
        <v>74</v>
      </c>
      <c r="C23" s="64" t="s">
        <v>93</v>
      </c>
      <c r="D23" s="65">
        <f>vlookup(C23,'CGI Finale Teams'!$B$87:$D$106,3,false)</f>
        <v>-17</v>
      </c>
      <c r="E23" s="66">
        <v>5.0</v>
      </c>
      <c r="F23" s="66">
        <v>5.0</v>
      </c>
      <c r="G23" s="66">
        <v>6.0</v>
      </c>
      <c r="H23" s="66">
        <v>5.0</v>
      </c>
      <c r="I23" s="66">
        <v>6.0</v>
      </c>
      <c r="J23" s="66">
        <v>5.0</v>
      </c>
      <c r="K23" s="66">
        <v>5.0</v>
      </c>
      <c r="L23" s="66">
        <v>5.0</v>
      </c>
      <c r="M23" s="66">
        <v>6.0</v>
      </c>
      <c r="N23" s="65">
        <f t="shared" si="1"/>
        <v>48</v>
      </c>
      <c r="O23" s="66">
        <v>4.0</v>
      </c>
      <c r="P23" s="66">
        <v>6.0</v>
      </c>
      <c r="Q23" s="66">
        <v>4.0</v>
      </c>
      <c r="R23" s="66">
        <v>6.0</v>
      </c>
      <c r="S23" s="66">
        <v>4.0</v>
      </c>
      <c r="T23" s="66">
        <v>4.0</v>
      </c>
      <c r="U23" s="66">
        <v>5.0</v>
      </c>
      <c r="V23" s="66">
        <v>3.0</v>
      </c>
      <c r="W23" s="66">
        <v>4.0</v>
      </c>
      <c r="X23" s="65">
        <f t="shared" si="2"/>
        <v>40</v>
      </c>
      <c r="Y23" s="65">
        <f t="shared" si="3"/>
        <v>88</v>
      </c>
      <c r="Z23" s="31" t="s">
        <v>155</v>
      </c>
    </row>
    <row r="24">
      <c r="A24" s="63">
        <f t="shared" si="4"/>
        <v>5.4</v>
      </c>
      <c r="B24" s="67" t="s">
        <v>74</v>
      </c>
      <c r="C24" s="64" t="s">
        <v>97</v>
      </c>
      <c r="D24" s="65">
        <f>vlookup(C24,'CGI Finale Teams'!$B$87:$D$106,3,false)</f>
        <v>-34</v>
      </c>
      <c r="E24" s="66"/>
      <c r="F24" s="66"/>
      <c r="G24" s="66"/>
      <c r="H24" s="66"/>
      <c r="I24" s="66"/>
      <c r="J24" s="66"/>
      <c r="K24" s="66"/>
      <c r="L24" s="66"/>
      <c r="M24" s="66"/>
      <c r="N24" s="65">
        <f t="shared" si="1"/>
        <v>0</v>
      </c>
      <c r="O24" s="66"/>
      <c r="P24" s="66"/>
      <c r="Q24" s="66"/>
      <c r="R24" s="66"/>
      <c r="S24" s="66"/>
      <c r="T24" s="66"/>
      <c r="U24" s="66"/>
      <c r="V24" s="66"/>
      <c r="W24" s="66"/>
      <c r="X24" s="65">
        <f t="shared" si="2"/>
        <v>0</v>
      </c>
      <c r="Y24" s="65">
        <f t="shared" si="3"/>
        <v>0</v>
      </c>
    </row>
    <row r="28">
      <c r="A28" s="60" t="s">
        <v>154</v>
      </c>
      <c r="B28" s="62" t="s">
        <v>67</v>
      </c>
      <c r="C28" s="61" t="s">
        <v>2</v>
      </c>
      <c r="D28" s="62" t="s">
        <v>158</v>
      </c>
      <c r="E28" s="60">
        <v>1.0</v>
      </c>
      <c r="F28" s="60">
        <v>2.0</v>
      </c>
      <c r="G28" s="60">
        <v>3.0</v>
      </c>
      <c r="H28" s="60">
        <v>4.0</v>
      </c>
      <c r="I28" s="60">
        <v>5.0</v>
      </c>
      <c r="J28" s="60">
        <v>6.0</v>
      </c>
      <c r="K28" s="60">
        <v>7.0</v>
      </c>
      <c r="L28" s="60">
        <v>8.0</v>
      </c>
      <c r="M28" s="60">
        <v>9.0</v>
      </c>
      <c r="N28" s="60" t="s">
        <v>91</v>
      </c>
      <c r="O28" s="60">
        <v>10.0</v>
      </c>
      <c r="P28" s="60">
        <v>11.0</v>
      </c>
      <c r="Q28" s="60">
        <v>12.0</v>
      </c>
      <c r="R28" s="60">
        <v>13.0</v>
      </c>
      <c r="S28" s="60">
        <v>14.0</v>
      </c>
      <c r="T28" s="60">
        <v>15.0</v>
      </c>
      <c r="U28" s="60">
        <v>16.0</v>
      </c>
      <c r="V28" s="60">
        <v>17.0</v>
      </c>
      <c r="W28" s="60">
        <v>18.0</v>
      </c>
      <c r="X28" s="60" t="s">
        <v>73</v>
      </c>
      <c r="Y28" s="60" t="s">
        <v>35</v>
      </c>
    </row>
    <row r="29">
      <c r="A29" s="69">
        <f t="shared" ref="A29:A30" si="7">A5</f>
        <v>1.1</v>
      </c>
      <c r="B29" s="70">
        <f>vlookup(C29,'CGI Finale Teams'!$B$87:$D$106,3,false)</f>
        <v>-2</v>
      </c>
      <c r="C29" s="71" t="str">
        <f t="shared" ref="C29:C30" si="8">C5</f>
        <v>Walt</v>
      </c>
      <c r="D29" s="70">
        <f t="shared" ref="D29:D30" si="9">B29-MAX(B$29:B$33)</f>
        <v>-3</v>
      </c>
      <c r="E29" s="70">
        <f t="shared" ref="E29:M29" si="5">if(E5&gt;0,E5-if( ($D29*-1)&gt;=E$2,1, 0),0)</f>
        <v>3</v>
      </c>
      <c r="F29" s="70">
        <f t="shared" si="5"/>
        <v>3</v>
      </c>
      <c r="G29" s="70">
        <f t="shared" si="5"/>
        <v>3</v>
      </c>
      <c r="H29" s="70">
        <f t="shared" si="5"/>
        <v>3</v>
      </c>
      <c r="I29" s="70">
        <f t="shared" si="5"/>
        <v>4</v>
      </c>
      <c r="J29" s="70">
        <f t="shared" si="5"/>
        <v>4</v>
      </c>
      <c r="K29" s="70">
        <f t="shared" si="5"/>
        <v>8</v>
      </c>
      <c r="L29" s="70">
        <f t="shared" si="5"/>
        <v>4</v>
      </c>
      <c r="M29" s="70">
        <f t="shared" si="5"/>
        <v>6</v>
      </c>
      <c r="N29" s="70">
        <f t="shared" ref="N29:N34" si="11">sum(E29:M29)</f>
        <v>38</v>
      </c>
      <c r="O29" s="70">
        <f t="shared" ref="O29:W29" si="6">if(O5&gt;0,O5-if( ($D29*-1)&gt;=O$2,1, 0),0)</f>
        <v>5</v>
      </c>
      <c r="P29" s="70">
        <f t="shared" si="6"/>
        <v>6</v>
      </c>
      <c r="Q29" s="70">
        <f t="shared" si="6"/>
        <v>2</v>
      </c>
      <c r="R29" s="70">
        <f t="shared" si="6"/>
        <v>4</v>
      </c>
      <c r="S29" s="70">
        <f t="shared" si="6"/>
        <v>4</v>
      </c>
      <c r="T29" s="70">
        <f t="shared" si="6"/>
        <v>6</v>
      </c>
      <c r="U29" s="70">
        <f t="shared" si="6"/>
        <v>6</v>
      </c>
      <c r="V29" s="70">
        <f t="shared" si="6"/>
        <v>4</v>
      </c>
      <c r="W29" s="70">
        <f t="shared" si="6"/>
        <v>5</v>
      </c>
      <c r="X29" s="70">
        <f t="shared" ref="X29:X34" si="13">sum(O29:W29)</f>
        <v>42</v>
      </c>
      <c r="Y29" s="70">
        <f t="shared" ref="Y29:Y34" si="14">N29+X29</f>
        <v>80</v>
      </c>
    </row>
    <row r="30">
      <c r="A30" s="69">
        <f t="shared" si="7"/>
        <v>1.2</v>
      </c>
      <c r="B30" s="70">
        <f>vlookup(C30,'CGI Finale Teams'!$B$87:$D$106,3,false)</f>
        <v>-10</v>
      </c>
      <c r="C30" s="71" t="str">
        <f t="shared" si="8"/>
        <v>Eddie</v>
      </c>
      <c r="D30" s="70">
        <f t="shared" si="9"/>
        <v>-11</v>
      </c>
      <c r="E30" s="70">
        <f t="shared" ref="E30:M30" si="10">if(E6&gt;0,E6-if( ($D30*-1)&gt;=E$2,1, 0),0)</f>
        <v>4</v>
      </c>
      <c r="F30" s="70">
        <f t="shared" si="10"/>
        <v>5</v>
      </c>
      <c r="G30" s="70">
        <f t="shared" si="10"/>
        <v>5</v>
      </c>
      <c r="H30" s="70">
        <f t="shared" si="10"/>
        <v>5</v>
      </c>
      <c r="I30" s="70">
        <f t="shared" si="10"/>
        <v>4</v>
      </c>
      <c r="J30" s="70">
        <f t="shared" si="10"/>
        <v>4</v>
      </c>
      <c r="K30" s="70">
        <f t="shared" si="10"/>
        <v>7</v>
      </c>
      <c r="L30" s="70">
        <f t="shared" si="10"/>
        <v>4</v>
      </c>
      <c r="M30" s="70">
        <f t="shared" si="10"/>
        <v>5</v>
      </c>
      <c r="N30" s="70">
        <f t="shared" si="11"/>
        <v>43</v>
      </c>
      <c r="O30" s="70">
        <f t="shared" ref="O30:W30" si="12">if(O6&gt;0,O6-if( ($D30*-1)&gt;=O$2,1, 0),0)</f>
        <v>5</v>
      </c>
      <c r="P30" s="70">
        <f t="shared" si="12"/>
        <v>3</v>
      </c>
      <c r="Q30" s="70">
        <f t="shared" si="12"/>
        <v>4</v>
      </c>
      <c r="R30" s="70">
        <f t="shared" si="12"/>
        <v>3</v>
      </c>
      <c r="S30" s="70">
        <f t="shared" si="12"/>
        <v>4</v>
      </c>
      <c r="T30" s="70">
        <f t="shared" si="12"/>
        <v>6</v>
      </c>
      <c r="U30" s="70">
        <f t="shared" si="12"/>
        <v>6</v>
      </c>
      <c r="V30" s="70">
        <f t="shared" si="12"/>
        <v>4</v>
      </c>
      <c r="W30" s="70">
        <f t="shared" si="12"/>
        <v>7</v>
      </c>
      <c r="X30" s="70">
        <f t="shared" si="13"/>
        <v>42</v>
      </c>
      <c r="Y30" s="70">
        <f t="shared" si="14"/>
        <v>85</v>
      </c>
    </row>
    <row r="31">
      <c r="A31" s="69"/>
      <c r="B31" s="70"/>
      <c r="C31" s="72" t="str">
        <f>C29&amp;"/"&amp;C30</f>
        <v>Walt/Eddie</v>
      </c>
      <c r="D31" s="73" t="s">
        <v>159</v>
      </c>
      <c r="E31" s="72">
        <f t="shared" ref="E31:M31" si="15">min(E29:E30)</f>
        <v>3</v>
      </c>
      <c r="F31" s="72">
        <f t="shared" si="15"/>
        <v>3</v>
      </c>
      <c r="G31" s="72">
        <f t="shared" si="15"/>
        <v>3</v>
      </c>
      <c r="H31" s="72">
        <f t="shared" si="15"/>
        <v>3</v>
      </c>
      <c r="I31" s="72">
        <f t="shared" si="15"/>
        <v>4</v>
      </c>
      <c r="J31" s="72">
        <f t="shared" si="15"/>
        <v>4</v>
      </c>
      <c r="K31" s="72">
        <f t="shared" si="15"/>
        <v>7</v>
      </c>
      <c r="L31" s="72">
        <f t="shared" si="15"/>
        <v>4</v>
      </c>
      <c r="M31" s="72">
        <f t="shared" si="15"/>
        <v>5</v>
      </c>
      <c r="N31" s="72">
        <f t="shared" si="11"/>
        <v>36</v>
      </c>
      <c r="O31" s="72">
        <f t="shared" ref="O31:W31" si="16">min(O29:O30)</f>
        <v>5</v>
      </c>
      <c r="P31" s="72">
        <f t="shared" si="16"/>
        <v>3</v>
      </c>
      <c r="Q31" s="72">
        <f t="shared" si="16"/>
        <v>2</v>
      </c>
      <c r="R31" s="72">
        <f t="shared" si="16"/>
        <v>3</v>
      </c>
      <c r="S31" s="72">
        <f t="shared" si="16"/>
        <v>4</v>
      </c>
      <c r="T31" s="72">
        <f t="shared" si="16"/>
        <v>6</v>
      </c>
      <c r="U31" s="72">
        <f t="shared" si="16"/>
        <v>6</v>
      </c>
      <c r="V31" s="72">
        <f t="shared" si="16"/>
        <v>4</v>
      </c>
      <c r="W31" s="72">
        <f t="shared" si="16"/>
        <v>5</v>
      </c>
      <c r="X31" s="72">
        <f t="shared" si="13"/>
        <v>38</v>
      </c>
      <c r="Y31" s="72">
        <f t="shared" si="14"/>
        <v>74</v>
      </c>
    </row>
    <row r="32">
      <c r="A32" s="69">
        <f t="shared" ref="A32:A33" si="19">A7</f>
        <v>1.3</v>
      </c>
      <c r="B32" s="70">
        <f>vlookup(C32,'CGI Finale Teams'!$B$87:$D$106,3,false)</f>
        <v>1</v>
      </c>
      <c r="C32" s="71" t="str">
        <f t="shared" ref="C32:C33" si="20">C7</f>
        <v>Ryan</v>
      </c>
      <c r="D32" s="70">
        <f t="shared" ref="D32:D33" si="21">B32-MAX(B$29:B$33)</f>
        <v>0</v>
      </c>
      <c r="E32" s="70">
        <f t="shared" ref="E32:M32" si="17">if(E7&gt;0,E7-if( ($D32*-1)&gt;=E$2,1, 0),0)</f>
        <v>4</v>
      </c>
      <c r="F32" s="70">
        <f t="shared" si="17"/>
        <v>4</v>
      </c>
      <c r="G32" s="70">
        <f t="shared" si="17"/>
        <v>3</v>
      </c>
      <c r="H32" s="70">
        <f t="shared" si="17"/>
        <v>3</v>
      </c>
      <c r="I32" s="70">
        <f t="shared" si="17"/>
        <v>5</v>
      </c>
      <c r="J32" s="70">
        <f t="shared" si="17"/>
        <v>6</v>
      </c>
      <c r="K32" s="70">
        <f t="shared" si="17"/>
        <v>5</v>
      </c>
      <c r="L32" s="70">
        <f t="shared" si="17"/>
        <v>3</v>
      </c>
      <c r="M32" s="70">
        <f t="shared" si="17"/>
        <v>6</v>
      </c>
      <c r="N32" s="70">
        <f t="shared" si="11"/>
        <v>39</v>
      </c>
      <c r="O32" s="70">
        <f t="shared" ref="O32:W32" si="18">if(O7&gt;0,O7-if( ($D32*-1)&gt;=O$2,1, 0),0)</f>
        <v>3</v>
      </c>
      <c r="P32" s="70">
        <f t="shared" si="18"/>
        <v>3</v>
      </c>
      <c r="Q32" s="70">
        <f t="shared" si="18"/>
        <v>3</v>
      </c>
      <c r="R32" s="70">
        <f t="shared" si="18"/>
        <v>5</v>
      </c>
      <c r="S32" s="70">
        <f t="shared" si="18"/>
        <v>4</v>
      </c>
      <c r="T32" s="70">
        <f t="shared" si="18"/>
        <v>4</v>
      </c>
      <c r="U32" s="70">
        <f t="shared" si="18"/>
        <v>3</v>
      </c>
      <c r="V32" s="70">
        <f t="shared" si="18"/>
        <v>3</v>
      </c>
      <c r="W32" s="70">
        <f t="shared" si="18"/>
        <v>5</v>
      </c>
      <c r="X32" s="70">
        <f t="shared" si="13"/>
        <v>33</v>
      </c>
      <c r="Y32" s="70">
        <f t="shared" si="14"/>
        <v>72</v>
      </c>
    </row>
    <row r="33">
      <c r="A33" s="69">
        <f t="shared" si="19"/>
        <v>1.4</v>
      </c>
      <c r="B33" s="70">
        <f>vlookup(C33,'CGI Finale Teams'!$B$87:$D$106,3,false)</f>
        <v>-5</v>
      </c>
      <c r="C33" s="71" t="str">
        <f t="shared" si="20"/>
        <v>Preston</v>
      </c>
      <c r="D33" s="70">
        <f t="shared" si="21"/>
        <v>-6</v>
      </c>
      <c r="E33" s="70">
        <f t="shared" ref="E33:M33" si="22">if(E8&gt;0,E8-if( ($D33*-1)&gt;=E$2,1, 0),0)</f>
        <v>5</v>
      </c>
      <c r="F33" s="70">
        <f t="shared" si="22"/>
        <v>6</v>
      </c>
      <c r="G33" s="70">
        <f t="shared" si="22"/>
        <v>4</v>
      </c>
      <c r="H33" s="70">
        <f t="shared" si="22"/>
        <v>3</v>
      </c>
      <c r="I33" s="70">
        <f t="shared" si="22"/>
        <v>5</v>
      </c>
      <c r="J33" s="70">
        <f t="shared" si="22"/>
        <v>5</v>
      </c>
      <c r="K33" s="70">
        <f t="shared" si="22"/>
        <v>6</v>
      </c>
      <c r="L33" s="70">
        <f t="shared" si="22"/>
        <v>4</v>
      </c>
      <c r="M33" s="70">
        <f t="shared" si="22"/>
        <v>8</v>
      </c>
      <c r="N33" s="70">
        <f t="shared" si="11"/>
        <v>46</v>
      </c>
      <c r="O33" s="70">
        <f t="shared" ref="O33:W33" si="23">if(O8&gt;0,O8-if( ($D33*-1)&gt;=O$2,1, 0),0)</f>
        <v>5</v>
      </c>
      <c r="P33" s="70">
        <f t="shared" si="23"/>
        <v>4</v>
      </c>
      <c r="Q33" s="70">
        <f t="shared" si="23"/>
        <v>3</v>
      </c>
      <c r="R33" s="70">
        <f t="shared" si="23"/>
        <v>4</v>
      </c>
      <c r="S33" s="70">
        <f t="shared" si="23"/>
        <v>5</v>
      </c>
      <c r="T33" s="70">
        <f t="shared" si="23"/>
        <v>4</v>
      </c>
      <c r="U33" s="70">
        <f t="shared" si="23"/>
        <v>6</v>
      </c>
      <c r="V33" s="70">
        <f t="shared" si="23"/>
        <v>5</v>
      </c>
      <c r="W33" s="70">
        <f t="shared" si="23"/>
        <v>4</v>
      </c>
      <c r="X33" s="70">
        <f t="shared" si="13"/>
        <v>40</v>
      </c>
      <c r="Y33" s="70">
        <f t="shared" si="14"/>
        <v>86</v>
      </c>
    </row>
    <row r="34">
      <c r="A34" s="69"/>
      <c r="B34" s="70"/>
      <c r="C34" s="72" t="str">
        <f>C32&amp;"/"&amp;C33</f>
        <v>Ryan/Preston</v>
      </c>
      <c r="D34" s="73" t="s">
        <v>159</v>
      </c>
      <c r="E34" s="72">
        <f t="shared" ref="E34:M34" si="24">min(E32:E33)</f>
        <v>4</v>
      </c>
      <c r="F34" s="72">
        <f t="shared" si="24"/>
        <v>4</v>
      </c>
      <c r="G34" s="72">
        <f t="shared" si="24"/>
        <v>3</v>
      </c>
      <c r="H34" s="72">
        <f t="shared" si="24"/>
        <v>3</v>
      </c>
      <c r="I34" s="72">
        <f t="shared" si="24"/>
        <v>5</v>
      </c>
      <c r="J34" s="72">
        <f t="shared" si="24"/>
        <v>5</v>
      </c>
      <c r="K34" s="72">
        <f t="shared" si="24"/>
        <v>5</v>
      </c>
      <c r="L34" s="72">
        <f t="shared" si="24"/>
        <v>3</v>
      </c>
      <c r="M34" s="72">
        <f t="shared" si="24"/>
        <v>6</v>
      </c>
      <c r="N34" s="72">
        <f t="shared" si="11"/>
        <v>38</v>
      </c>
      <c r="O34" s="72">
        <f t="shared" ref="O34:W34" si="25">min(O32:O33)</f>
        <v>3</v>
      </c>
      <c r="P34" s="72">
        <f t="shared" si="25"/>
        <v>3</v>
      </c>
      <c r="Q34" s="72">
        <f t="shared" si="25"/>
        <v>3</v>
      </c>
      <c r="R34" s="72">
        <f t="shared" si="25"/>
        <v>4</v>
      </c>
      <c r="S34" s="72">
        <f t="shared" si="25"/>
        <v>4</v>
      </c>
      <c r="T34" s="72">
        <f t="shared" si="25"/>
        <v>4</v>
      </c>
      <c r="U34" s="72">
        <f t="shared" si="25"/>
        <v>3</v>
      </c>
      <c r="V34" s="72">
        <f t="shared" si="25"/>
        <v>3</v>
      </c>
      <c r="W34" s="72">
        <f t="shared" si="25"/>
        <v>4</v>
      </c>
      <c r="X34" s="72">
        <f t="shared" si="13"/>
        <v>31</v>
      </c>
      <c r="Y34" s="72">
        <f t="shared" si="14"/>
        <v>69</v>
      </c>
    </row>
    <row r="35">
      <c r="A35" s="69"/>
      <c r="B35" s="70"/>
      <c r="C35" s="70"/>
      <c r="D35" s="74" t="s">
        <v>160</v>
      </c>
      <c r="E35" s="70">
        <f>if(E34&lt;E31,1,if(E34&gt;E31,-1,0))</f>
        <v>-1</v>
      </c>
      <c r="F35" s="70">
        <f t="shared" ref="F35:M35" si="26">if(F34&lt;F31,1,if(F34&gt;F31,-1,0))+E35</f>
        <v>-2</v>
      </c>
      <c r="G35" s="70">
        <f t="shared" si="26"/>
        <v>-2</v>
      </c>
      <c r="H35" s="70">
        <f t="shared" si="26"/>
        <v>-2</v>
      </c>
      <c r="I35" s="70">
        <f t="shared" si="26"/>
        <v>-3</v>
      </c>
      <c r="J35" s="70">
        <f t="shared" si="26"/>
        <v>-4</v>
      </c>
      <c r="K35" s="70">
        <f t="shared" si="26"/>
        <v>-3</v>
      </c>
      <c r="L35" s="70">
        <f t="shared" si="26"/>
        <v>-2</v>
      </c>
      <c r="M35" s="70">
        <f t="shared" si="26"/>
        <v>-3</v>
      </c>
      <c r="N35" s="70">
        <f>M35</f>
        <v>-3</v>
      </c>
      <c r="O35" s="70">
        <f t="shared" ref="O35:W35" si="27">if(O34&lt;O31,1,if(O34&gt;O31,-1,0))+N35</f>
        <v>-2</v>
      </c>
      <c r="P35" s="70">
        <f t="shared" si="27"/>
        <v>-2</v>
      </c>
      <c r="Q35" s="70">
        <f t="shared" si="27"/>
        <v>-3</v>
      </c>
      <c r="R35" s="70">
        <f t="shared" si="27"/>
        <v>-4</v>
      </c>
      <c r="S35" s="70">
        <f t="shared" si="27"/>
        <v>-4</v>
      </c>
      <c r="T35" s="70">
        <f t="shared" si="27"/>
        <v>-3</v>
      </c>
      <c r="U35" s="70">
        <f t="shared" si="27"/>
        <v>-2</v>
      </c>
      <c r="V35" s="70">
        <f t="shared" si="27"/>
        <v>-1</v>
      </c>
      <c r="W35" s="70">
        <f t="shared" si="27"/>
        <v>0</v>
      </c>
      <c r="X35" s="70">
        <f>W35-N35</f>
        <v>3</v>
      </c>
      <c r="Y35" s="70">
        <f>W35</f>
        <v>0</v>
      </c>
    </row>
    <row r="36">
      <c r="A36" s="75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</row>
    <row r="37">
      <c r="A37" s="60" t="s">
        <v>154</v>
      </c>
      <c r="B37" s="62" t="s">
        <v>67</v>
      </c>
      <c r="C37" s="61" t="s">
        <v>2</v>
      </c>
      <c r="D37" s="62" t="s">
        <v>158</v>
      </c>
      <c r="E37" s="60">
        <v>1.0</v>
      </c>
      <c r="F37" s="60">
        <v>2.0</v>
      </c>
      <c r="G37" s="60">
        <v>3.0</v>
      </c>
      <c r="H37" s="60">
        <v>4.0</v>
      </c>
      <c r="I37" s="60">
        <v>5.0</v>
      </c>
      <c r="J37" s="60">
        <v>6.0</v>
      </c>
      <c r="K37" s="60">
        <v>7.0</v>
      </c>
      <c r="L37" s="60">
        <v>8.0</v>
      </c>
      <c r="M37" s="60">
        <v>9.0</v>
      </c>
      <c r="N37" s="60" t="s">
        <v>91</v>
      </c>
      <c r="O37" s="60">
        <v>10.0</v>
      </c>
      <c r="P37" s="60">
        <v>11.0</v>
      </c>
      <c r="Q37" s="60">
        <v>12.0</v>
      </c>
      <c r="R37" s="60">
        <v>13.0</v>
      </c>
      <c r="S37" s="60">
        <v>14.0</v>
      </c>
      <c r="T37" s="60">
        <v>15.0</v>
      </c>
      <c r="U37" s="60">
        <v>16.0</v>
      </c>
      <c r="V37" s="60">
        <v>17.0</v>
      </c>
      <c r="W37" s="60">
        <v>18.0</v>
      </c>
      <c r="X37" s="60" t="s">
        <v>73</v>
      </c>
      <c r="Y37" s="60" t="s">
        <v>35</v>
      </c>
    </row>
    <row r="38">
      <c r="A38" s="63">
        <f t="shared" ref="A38:A39" si="30">A9</f>
        <v>2.1</v>
      </c>
      <c r="B38" s="65">
        <f>vlookup(C38,'CGI Finale Teams'!$B$87:$D$106,3,false)</f>
        <v>-1</v>
      </c>
      <c r="C38" s="64" t="str">
        <f t="shared" ref="C38:C39" si="31">C9</f>
        <v>Jordan</v>
      </c>
      <c r="D38" s="65">
        <f t="shared" ref="D38:D39" si="32">B38-MAX(B$23:B$42)</f>
        <v>-2</v>
      </c>
      <c r="E38" s="65">
        <f t="shared" ref="E38:M38" si="28">if(E9&gt;0,E9-if( ($D38*-1)&gt;=E$2,1, 0),0)</f>
        <v>4</v>
      </c>
      <c r="F38" s="65">
        <f t="shared" si="28"/>
        <v>5</v>
      </c>
      <c r="G38" s="65">
        <f t="shared" si="28"/>
        <v>5</v>
      </c>
      <c r="H38" s="65">
        <f t="shared" si="28"/>
        <v>3</v>
      </c>
      <c r="I38" s="65">
        <f t="shared" si="28"/>
        <v>5</v>
      </c>
      <c r="J38" s="65">
        <f t="shared" si="28"/>
        <v>4</v>
      </c>
      <c r="K38" s="65">
        <f t="shared" si="28"/>
        <v>5</v>
      </c>
      <c r="L38" s="65">
        <f t="shared" si="28"/>
        <v>2</v>
      </c>
      <c r="M38" s="65">
        <f t="shared" si="28"/>
        <v>5</v>
      </c>
      <c r="N38" s="65">
        <f t="shared" ref="N38:N43" si="34">sum(E38:M38)</f>
        <v>38</v>
      </c>
      <c r="O38" s="65">
        <f t="shared" ref="O38:W38" si="29">if(O9&gt;0,O9-if( ($D38*-1)&gt;=O$2,1, 0),0)</f>
        <v>4</v>
      </c>
      <c r="P38" s="65">
        <f t="shared" si="29"/>
        <v>5</v>
      </c>
      <c r="Q38" s="65">
        <f t="shared" si="29"/>
        <v>4</v>
      </c>
      <c r="R38" s="65">
        <f t="shared" si="29"/>
        <v>4</v>
      </c>
      <c r="S38" s="65">
        <f t="shared" si="29"/>
        <v>6</v>
      </c>
      <c r="T38" s="65">
        <f t="shared" si="29"/>
        <v>5</v>
      </c>
      <c r="U38" s="65">
        <f t="shared" si="29"/>
        <v>6</v>
      </c>
      <c r="V38" s="65">
        <f t="shared" si="29"/>
        <v>3</v>
      </c>
      <c r="W38" s="65">
        <f t="shared" si="29"/>
        <v>5</v>
      </c>
      <c r="X38" s="65">
        <f t="shared" ref="X38:X43" si="36">sum(O38:W38)</f>
        <v>42</v>
      </c>
      <c r="Y38" s="65">
        <f t="shared" ref="Y38:Y43" si="37">N38+X38</f>
        <v>80</v>
      </c>
    </row>
    <row r="39">
      <c r="A39" s="63">
        <f t="shared" si="30"/>
        <v>2.2</v>
      </c>
      <c r="B39" s="65">
        <f>vlookup(C39,'CGI Finale Teams'!$B$87:$D$106,3,false)</f>
        <v>-6</v>
      </c>
      <c r="C39" s="64" t="str">
        <f t="shared" si="31"/>
        <v>Scott</v>
      </c>
      <c r="D39" s="65">
        <f t="shared" si="32"/>
        <v>-7</v>
      </c>
      <c r="E39" s="65">
        <f t="shared" ref="E39:M39" si="33">if(E10&gt;0,E10-if( ($D39*-1)&gt;=E$2,1, 0),0)</f>
        <v>4</v>
      </c>
      <c r="F39" s="65">
        <f t="shared" si="33"/>
        <v>4</v>
      </c>
      <c r="G39" s="65">
        <f t="shared" si="33"/>
        <v>3</v>
      </c>
      <c r="H39" s="65">
        <f t="shared" si="33"/>
        <v>3</v>
      </c>
      <c r="I39" s="65">
        <f t="shared" si="33"/>
        <v>3</v>
      </c>
      <c r="J39" s="65">
        <f t="shared" si="33"/>
        <v>5</v>
      </c>
      <c r="K39" s="65">
        <f t="shared" si="33"/>
        <v>5</v>
      </c>
      <c r="L39" s="65">
        <f t="shared" si="33"/>
        <v>4</v>
      </c>
      <c r="M39" s="65">
        <f t="shared" si="33"/>
        <v>5</v>
      </c>
      <c r="N39" s="65">
        <f t="shared" si="34"/>
        <v>36</v>
      </c>
      <c r="O39" s="65">
        <f t="shared" ref="O39:W39" si="35">if(O10&gt;0,O10-if( ($D39*-1)&gt;=O$2,1, 0),0)</f>
        <v>6</v>
      </c>
      <c r="P39" s="65">
        <f t="shared" si="35"/>
        <v>4</v>
      </c>
      <c r="Q39" s="65">
        <f t="shared" si="35"/>
        <v>3</v>
      </c>
      <c r="R39" s="65">
        <f t="shared" si="35"/>
        <v>5</v>
      </c>
      <c r="S39" s="65">
        <f t="shared" si="35"/>
        <v>5</v>
      </c>
      <c r="T39" s="65">
        <f t="shared" si="35"/>
        <v>5</v>
      </c>
      <c r="U39" s="65">
        <f t="shared" si="35"/>
        <v>7</v>
      </c>
      <c r="V39" s="65">
        <f t="shared" si="35"/>
        <v>4</v>
      </c>
      <c r="W39" s="65">
        <f t="shared" si="35"/>
        <v>5</v>
      </c>
      <c r="X39" s="65">
        <f t="shared" si="36"/>
        <v>44</v>
      </c>
      <c r="Y39" s="65">
        <f t="shared" si="37"/>
        <v>80</v>
      </c>
    </row>
    <row r="40">
      <c r="A40" s="63"/>
      <c r="B40" s="65"/>
      <c r="C40" s="76" t="str">
        <f>C38&amp;"/"&amp;C39</f>
        <v>Jordan/Scott</v>
      </c>
      <c r="D40" s="77" t="s">
        <v>159</v>
      </c>
      <c r="E40" s="76">
        <f t="shared" ref="E40:M40" si="38">min(E38:E39)</f>
        <v>4</v>
      </c>
      <c r="F40" s="76">
        <f t="shared" si="38"/>
        <v>4</v>
      </c>
      <c r="G40" s="76">
        <f t="shared" si="38"/>
        <v>3</v>
      </c>
      <c r="H40" s="76">
        <f t="shared" si="38"/>
        <v>3</v>
      </c>
      <c r="I40" s="76">
        <f t="shared" si="38"/>
        <v>3</v>
      </c>
      <c r="J40" s="76">
        <f t="shared" si="38"/>
        <v>4</v>
      </c>
      <c r="K40" s="76">
        <f t="shared" si="38"/>
        <v>5</v>
      </c>
      <c r="L40" s="76">
        <f t="shared" si="38"/>
        <v>2</v>
      </c>
      <c r="M40" s="76">
        <f t="shared" si="38"/>
        <v>5</v>
      </c>
      <c r="N40" s="76">
        <f t="shared" si="34"/>
        <v>33</v>
      </c>
      <c r="O40" s="76">
        <f t="shared" ref="O40:W40" si="39">min(O38:O39)</f>
        <v>4</v>
      </c>
      <c r="P40" s="76">
        <f t="shared" si="39"/>
        <v>4</v>
      </c>
      <c r="Q40" s="76">
        <f t="shared" si="39"/>
        <v>3</v>
      </c>
      <c r="R40" s="76">
        <f t="shared" si="39"/>
        <v>4</v>
      </c>
      <c r="S40" s="76">
        <f t="shared" si="39"/>
        <v>5</v>
      </c>
      <c r="T40" s="76">
        <f t="shared" si="39"/>
        <v>5</v>
      </c>
      <c r="U40" s="76">
        <f t="shared" si="39"/>
        <v>6</v>
      </c>
      <c r="V40" s="76">
        <f t="shared" si="39"/>
        <v>3</v>
      </c>
      <c r="W40" s="76">
        <f t="shared" si="39"/>
        <v>5</v>
      </c>
      <c r="X40" s="76">
        <f t="shared" si="36"/>
        <v>39</v>
      </c>
      <c r="Y40" s="76">
        <f t="shared" si="37"/>
        <v>72</v>
      </c>
    </row>
    <row r="41">
      <c r="A41" s="63">
        <f t="shared" ref="A41:A42" si="42">A11</f>
        <v>2.3</v>
      </c>
      <c r="B41" s="65">
        <f>vlookup(C41,'CGI Finale Teams'!$B$87:$D$106,3,false)</f>
        <v>-7</v>
      </c>
      <c r="C41" s="64" t="str">
        <f t="shared" ref="C41:C42" si="43">C11</f>
        <v>Tom</v>
      </c>
      <c r="D41" s="65">
        <f t="shared" ref="D41:D42" si="44">B41-MAX(B$23:B$42)</f>
        <v>-8</v>
      </c>
      <c r="E41" s="65">
        <f t="shared" ref="E41:M41" si="40">if(E11&gt;0,E11-if( ($D41*-1)&gt;=E$2,1, 0),0)</f>
        <v>2</v>
      </c>
      <c r="F41" s="65">
        <f t="shared" si="40"/>
        <v>5</v>
      </c>
      <c r="G41" s="65">
        <f t="shared" si="40"/>
        <v>4</v>
      </c>
      <c r="H41" s="65">
        <f t="shared" si="40"/>
        <v>3</v>
      </c>
      <c r="I41" s="65">
        <f t="shared" si="40"/>
        <v>5</v>
      </c>
      <c r="J41" s="65">
        <f t="shared" si="40"/>
        <v>4</v>
      </c>
      <c r="K41" s="65">
        <f t="shared" si="40"/>
        <v>6</v>
      </c>
      <c r="L41" s="65">
        <f t="shared" si="40"/>
        <v>4</v>
      </c>
      <c r="M41" s="65">
        <f t="shared" si="40"/>
        <v>5</v>
      </c>
      <c r="N41" s="65">
        <f t="shared" si="34"/>
        <v>38</v>
      </c>
      <c r="O41" s="65">
        <f t="shared" ref="O41:W41" si="41">if(O11&gt;0,O11-if( ($D41*-1)&gt;=O$2,1, 0),0)</f>
        <v>4</v>
      </c>
      <c r="P41" s="65">
        <f t="shared" si="41"/>
        <v>3</v>
      </c>
      <c r="Q41" s="65">
        <f t="shared" si="41"/>
        <v>4</v>
      </c>
      <c r="R41" s="65">
        <f t="shared" si="41"/>
        <v>4</v>
      </c>
      <c r="S41" s="65">
        <f t="shared" si="41"/>
        <v>4</v>
      </c>
      <c r="T41" s="65">
        <f t="shared" si="41"/>
        <v>3</v>
      </c>
      <c r="U41" s="65">
        <f t="shared" si="41"/>
        <v>7</v>
      </c>
      <c r="V41" s="65">
        <f t="shared" si="41"/>
        <v>4</v>
      </c>
      <c r="W41" s="65">
        <f t="shared" si="41"/>
        <v>4</v>
      </c>
      <c r="X41" s="65">
        <f t="shared" si="36"/>
        <v>37</v>
      </c>
      <c r="Y41" s="65">
        <f t="shared" si="37"/>
        <v>75</v>
      </c>
    </row>
    <row r="42">
      <c r="A42" s="63">
        <f t="shared" si="42"/>
        <v>2.4</v>
      </c>
      <c r="B42" s="65">
        <f>vlookup(C42,'CGI Finale Teams'!$B$87:$D$106,3,false)</f>
        <v>-7</v>
      </c>
      <c r="C42" s="64" t="str">
        <f t="shared" si="43"/>
        <v>Seth</v>
      </c>
      <c r="D42" s="65">
        <f t="shared" si="44"/>
        <v>-8</v>
      </c>
      <c r="E42" s="65">
        <f t="shared" ref="E42:M42" si="45">if(E12&gt;0,E12-if( ($D42*-1)&gt;=E$2,1, 0),0)</f>
        <v>4</v>
      </c>
      <c r="F42" s="65">
        <f t="shared" si="45"/>
        <v>4</v>
      </c>
      <c r="G42" s="65">
        <f t="shared" si="45"/>
        <v>4</v>
      </c>
      <c r="H42" s="65">
        <f t="shared" si="45"/>
        <v>5</v>
      </c>
      <c r="I42" s="65">
        <f t="shared" si="45"/>
        <v>4</v>
      </c>
      <c r="J42" s="65">
        <f t="shared" si="45"/>
        <v>4</v>
      </c>
      <c r="K42" s="65">
        <f t="shared" si="45"/>
        <v>6</v>
      </c>
      <c r="L42" s="65">
        <f t="shared" si="45"/>
        <v>4</v>
      </c>
      <c r="M42" s="65">
        <f t="shared" si="45"/>
        <v>5</v>
      </c>
      <c r="N42" s="65">
        <f t="shared" si="34"/>
        <v>40</v>
      </c>
      <c r="O42" s="65">
        <f t="shared" ref="O42:W42" si="46">if(O12&gt;0,O12-if( ($D42*-1)&gt;=O$2,1, 0),0)</f>
        <v>5</v>
      </c>
      <c r="P42" s="65">
        <f t="shared" si="46"/>
        <v>4</v>
      </c>
      <c r="Q42" s="65">
        <f t="shared" si="46"/>
        <v>4</v>
      </c>
      <c r="R42" s="65">
        <f t="shared" si="46"/>
        <v>5</v>
      </c>
      <c r="S42" s="65">
        <f t="shared" si="46"/>
        <v>5</v>
      </c>
      <c r="T42" s="65">
        <f t="shared" si="46"/>
        <v>4</v>
      </c>
      <c r="U42" s="65">
        <f t="shared" si="46"/>
        <v>6</v>
      </c>
      <c r="V42" s="65">
        <f t="shared" si="46"/>
        <v>4</v>
      </c>
      <c r="W42" s="65">
        <f t="shared" si="46"/>
        <v>4</v>
      </c>
      <c r="X42" s="65">
        <f t="shared" si="36"/>
        <v>41</v>
      </c>
      <c r="Y42" s="65">
        <f t="shared" si="37"/>
        <v>81</v>
      </c>
    </row>
    <row r="43">
      <c r="A43" s="63"/>
      <c r="B43" s="65"/>
      <c r="C43" s="76" t="str">
        <f>C41&amp;"/"&amp;C42</f>
        <v>Tom/Seth</v>
      </c>
      <c r="D43" s="77" t="s">
        <v>159</v>
      </c>
      <c r="E43" s="76">
        <f t="shared" ref="E43:M43" si="47">min(E41:E42)</f>
        <v>2</v>
      </c>
      <c r="F43" s="76">
        <f t="shared" si="47"/>
        <v>4</v>
      </c>
      <c r="G43" s="76">
        <f t="shared" si="47"/>
        <v>4</v>
      </c>
      <c r="H43" s="76">
        <f t="shared" si="47"/>
        <v>3</v>
      </c>
      <c r="I43" s="76">
        <f t="shared" si="47"/>
        <v>4</v>
      </c>
      <c r="J43" s="76">
        <f t="shared" si="47"/>
        <v>4</v>
      </c>
      <c r="K43" s="76">
        <f t="shared" si="47"/>
        <v>6</v>
      </c>
      <c r="L43" s="76">
        <f t="shared" si="47"/>
        <v>4</v>
      </c>
      <c r="M43" s="76">
        <f t="shared" si="47"/>
        <v>5</v>
      </c>
      <c r="N43" s="76">
        <f t="shared" si="34"/>
        <v>36</v>
      </c>
      <c r="O43" s="76">
        <f t="shared" ref="O43:W43" si="48">min(O41:O42)</f>
        <v>4</v>
      </c>
      <c r="P43" s="76">
        <f t="shared" si="48"/>
        <v>3</v>
      </c>
      <c r="Q43" s="76">
        <f t="shared" si="48"/>
        <v>4</v>
      </c>
      <c r="R43" s="76">
        <f t="shared" si="48"/>
        <v>4</v>
      </c>
      <c r="S43" s="76">
        <f t="shared" si="48"/>
        <v>4</v>
      </c>
      <c r="T43" s="76">
        <f t="shared" si="48"/>
        <v>3</v>
      </c>
      <c r="U43" s="76">
        <f t="shared" si="48"/>
        <v>6</v>
      </c>
      <c r="V43" s="76">
        <f t="shared" si="48"/>
        <v>4</v>
      </c>
      <c r="W43" s="76">
        <f t="shared" si="48"/>
        <v>4</v>
      </c>
      <c r="X43" s="76">
        <f t="shared" si="36"/>
        <v>36</v>
      </c>
      <c r="Y43" s="76">
        <f t="shared" si="37"/>
        <v>72</v>
      </c>
    </row>
    <row r="44">
      <c r="A44" s="63"/>
      <c r="B44" s="65"/>
      <c r="C44" s="65"/>
      <c r="D44" s="66" t="s">
        <v>160</v>
      </c>
      <c r="E44" s="65">
        <f>if(E43&lt;E40,1,if(E43&gt;E40,-1,0))</f>
        <v>1</v>
      </c>
      <c r="F44" s="65">
        <f t="shared" ref="F44:M44" si="49">if(F43&lt;F40,1,if(F43&gt;F40,-1,0))+E44</f>
        <v>1</v>
      </c>
      <c r="G44" s="65">
        <f t="shared" si="49"/>
        <v>0</v>
      </c>
      <c r="H44" s="65">
        <f t="shared" si="49"/>
        <v>0</v>
      </c>
      <c r="I44" s="65">
        <f t="shared" si="49"/>
        <v>-1</v>
      </c>
      <c r="J44" s="65">
        <f t="shared" si="49"/>
        <v>-1</v>
      </c>
      <c r="K44" s="65">
        <f t="shared" si="49"/>
        <v>-2</v>
      </c>
      <c r="L44" s="65">
        <f t="shared" si="49"/>
        <v>-3</v>
      </c>
      <c r="M44" s="65">
        <f t="shared" si="49"/>
        <v>-3</v>
      </c>
      <c r="N44" s="65">
        <f>M44</f>
        <v>-3</v>
      </c>
      <c r="O44" s="65">
        <f t="shared" ref="O44:W44" si="50">if(O43&lt;O40,1,if(O43&gt;O40,-1,0))+N44</f>
        <v>-3</v>
      </c>
      <c r="P44" s="65">
        <f t="shared" si="50"/>
        <v>-2</v>
      </c>
      <c r="Q44" s="65">
        <f t="shared" si="50"/>
        <v>-3</v>
      </c>
      <c r="R44" s="65">
        <f t="shared" si="50"/>
        <v>-3</v>
      </c>
      <c r="S44" s="65">
        <f t="shared" si="50"/>
        <v>-2</v>
      </c>
      <c r="T44" s="65">
        <f t="shared" si="50"/>
        <v>-1</v>
      </c>
      <c r="U44" s="65">
        <f t="shared" si="50"/>
        <v>-1</v>
      </c>
      <c r="V44" s="65">
        <f t="shared" si="50"/>
        <v>-2</v>
      </c>
      <c r="W44" s="65">
        <f t="shared" si="50"/>
        <v>-1</v>
      </c>
      <c r="X44" s="65">
        <f>W44-N44</f>
        <v>2</v>
      </c>
      <c r="Y44" s="65">
        <f>W44</f>
        <v>-1</v>
      </c>
    </row>
    <row r="45">
      <c r="A45" s="75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</row>
    <row r="46">
      <c r="A46" s="60" t="s">
        <v>154</v>
      </c>
      <c r="B46" s="62" t="s">
        <v>67</v>
      </c>
      <c r="C46" s="61" t="s">
        <v>2</v>
      </c>
      <c r="D46" s="62" t="s">
        <v>158</v>
      </c>
      <c r="E46" s="60">
        <v>1.0</v>
      </c>
      <c r="F46" s="60">
        <v>2.0</v>
      </c>
      <c r="G46" s="60">
        <v>3.0</v>
      </c>
      <c r="H46" s="60">
        <v>4.0</v>
      </c>
      <c r="I46" s="60">
        <v>5.0</v>
      </c>
      <c r="J46" s="60">
        <v>6.0</v>
      </c>
      <c r="K46" s="60">
        <v>7.0</v>
      </c>
      <c r="L46" s="60">
        <v>8.0</v>
      </c>
      <c r="M46" s="60">
        <v>9.0</v>
      </c>
      <c r="N46" s="60" t="s">
        <v>91</v>
      </c>
      <c r="O46" s="60">
        <v>10.0</v>
      </c>
      <c r="P46" s="60">
        <v>11.0</v>
      </c>
      <c r="Q46" s="60">
        <v>12.0</v>
      </c>
      <c r="R46" s="60">
        <v>13.0</v>
      </c>
      <c r="S46" s="60">
        <v>14.0</v>
      </c>
      <c r="T46" s="60">
        <v>15.0</v>
      </c>
      <c r="U46" s="60">
        <v>16.0</v>
      </c>
      <c r="V46" s="60">
        <v>17.0</v>
      </c>
      <c r="W46" s="60">
        <v>18.0</v>
      </c>
      <c r="X46" s="60" t="s">
        <v>73</v>
      </c>
      <c r="Y46" s="60" t="s">
        <v>35</v>
      </c>
    </row>
    <row r="47">
      <c r="A47" s="63">
        <f t="shared" ref="A47:A48" si="53">A13</f>
        <v>3.1</v>
      </c>
      <c r="B47" s="65">
        <f>vlookup(C47,'CGI Finale Teams'!$B$87:$D$106,3,false)</f>
        <v>-4</v>
      </c>
      <c r="C47" s="64" t="str">
        <f t="shared" ref="C47:C48" si="54">C13</f>
        <v>Simon</v>
      </c>
      <c r="D47" s="65">
        <f t="shared" ref="D47:D48" si="55">B47-MAX(B$47:B$51)</f>
        <v>0</v>
      </c>
      <c r="E47" s="65">
        <f t="shared" ref="E47:M47" si="51">if(E13&gt;0,E13-if( ($D47*-1)&gt;=E$2,1, 0),0)</f>
        <v>4</v>
      </c>
      <c r="F47" s="65">
        <f t="shared" si="51"/>
        <v>5</v>
      </c>
      <c r="G47" s="65">
        <f t="shared" si="51"/>
        <v>4</v>
      </c>
      <c r="H47" s="65">
        <f t="shared" si="51"/>
        <v>3</v>
      </c>
      <c r="I47" s="65">
        <f t="shared" si="51"/>
        <v>4</v>
      </c>
      <c r="J47" s="65">
        <f t="shared" si="51"/>
        <v>4</v>
      </c>
      <c r="K47" s="65">
        <f t="shared" si="51"/>
        <v>4</v>
      </c>
      <c r="L47" s="65">
        <f t="shared" si="51"/>
        <v>3</v>
      </c>
      <c r="M47" s="65">
        <f t="shared" si="51"/>
        <v>6</v>
      </c>
      <c r="N47" s="65">
        <f t="shared" ref="N47:N52" si="57">sum(E47:M47)</f>
        <v>37</v>
      </c>
      <c r="O47" s="65">
        <f t="shared" ref="O47:W47" si="52">if(O13&gt;0,O13-if( ($D47*-1)&gt;=O$2,1, 0),0)</f>
        <v>4</v>
      </c>
      <c r="P47" s="65">
        <f t="shared" si="52"/>
        <v>5</v>
      </c>
      <c r="Q47" s="65">
        <f t="shared" si="52"/>
        <v>3</v>
      </c>
      <c r="R47" s="65">
        <f t="shared" si="52"/>
        <v>4</v>
      </c>
      <c r="S47" s="65">
        <f t="shared" si="52"/>
        <v>4</v>
      </c>
      <c r="T47" s="65">
        <f t="shared" si="52"/>
        <v>5</v>
      </c>
      <c r="U47" s="65">
        <f t="shared" si="52"/>
        <v>5</v>
      </c>
      <c r="V47" s="65">
        <f t="shared" si="52"/>
        <v>4</v>
      </c>
      <c r="W47" s="65">
        <f t="shared" si="52"/>
        <v>4</v>
      </c>
      <c r="X47" s="65">
        <f t="shared" ref="X47:X52" si="59">sum(O47:W47)</f>
        <v>38</v>
      </c>
      <c r="Y47" s="65">
        <f t="shared" ref="Y47:Y52" si="60">N47+X47</f>
        <v>75</v>
      </c>
    </row>
    <row r="48">
      <c r="A48" s="63">
        <f t="shared" si="53"/>
        <v>3.2</v>
      </c>
      <c r="B48" s="65">
        <f>vlookup(C48,'CGI Finale Teams'!$B$87:$D$106,3,false)</f>
        <v>-8</v>
      </c>
      <c r="C48" s="64" t="str">
        <f t="shared" si="54"/>
        <v>Brian</v>
      </c>
      <c r="D48" s="65">
        <f t="shared" si="55"/>
        <v>-4</v>
      </c>
      <c r="E48" s="65">
        <f t="shared" ref="E48:M48" si="56">if(E14&gt;0,E14-if( ($D48*-1)&gt;=E$2,1, 0),0)</f>
        <v>4</v>
      </c>
      <c r="F48" s="65">
        <f t="shared" si="56"/>
        <v>4</v>
      </c>
      <c r="G48" s="65">
        <f t="shared" si="56"/>
        <v>4</v>
      </c>
      <c r="H48" s="65">
        <f t="shared" si="56"/>
        <v>4</v>
      </c>
      <c r="I48" s="65">
        <f t="shared" si="56"/>
        <v>3</v>
      </c>
      <c r="J48" s="65">
        <f t="shared" si="56"/>
        <v>4</v>
      </c>
      <c r="K48" s="65">
        <f t="shared" si="56"/>
        <v>6</v>
      </c>
      <c r="L48" s="65">
        <f t="shared" si="56"/>
        <v>3</v>
      </c>
      <c r="M48" s="65">
        <f t="shared" si="56"/>
        <v>7</v>
      </c>
      <c r="N48" s="65">
        <f t="shared" si="57"/>
        <v>39</v>
      </c>
      <c r="O48" s="65">
        <f t="shared" ref="O48:W48" si="58">if(O14&gt;0,O14-if( ($D48*-1)&gt;=O$2,1, 0),0)</f>
        <v>5</v>
      </c>
      <c r="P48" s="65">
        <f t="shared" si="58"/>
        <v>6</v>
      </c>
      <c r="Q48" s="65">
        <f t="shared" si="58"/>
        <v>4</v>
      </c>
      <c r="R48" s="65">
        <f t="shared" si="58"/>
        <v>6</v>
      </c>
      <c r="S48" s="65">
        <f t="shared" si="58"/>
        <v>4</v>
      </c>
      <c r="T48" s="65">
        <f t="shared" si="58"/>
        <v>4</v>
      </c>
      <c r="U48" s="65">
        <f t="shared" si="58"/>
        <v>5</v>
      </c>
      <c r="V48" s="65">
        <f t="shared" si="58"/>
        <v>4</v>
      </c>
      <c r="W48" s="65">
        <f t="shared" si="58"/>
        <v>4</v>
      </c>
      <c r="X48" s="65">
        <f t="shared" si="59"/>
        <v>42</v>
      </c>
      <c r="Y48" s="65">
        <f t="shared" si="60"/>
        <v>81</v>
      </c>
    </row>
    <row r="49">
      <c r="A49" s="63"/>
      <c r="B49" s="65"/>
      <c r="C49" s="76" t="str">
        <f>C47&amp;"/"&amp;C48</f>
        <v>Simon/Brian</v>
      </c>
      <c r="D49" s="77" t="s">
        <v>159</v>
      </c>
      <c r="E49" s="76">
        <f t="shared" ref="E49:M49" si="61">min(E47:E48)</f>
        <v>4</v>
      </c>
      <c r="F49" s="76">
        <f t="shared" si="61"/>
        <v>4</v>
      </c>
      <c r="G49" s="76">
        <f t="shared" si="61"/>
        <v>4</v>
      </c>
      <c r="H49" s="76">
        <f t="shared" si="61"/>
        <v>3</v>
      </c>
      <c r="I49" s="76">
        <f t="shared" si="61"/>
        <v>3</v>
      </c>
      <c r="J49" s="76">
        <f t="shared" si="61"/>
        <v>4</v>
      </c>
      <c r="K49" s="76">
        <f t="shared" si="61"/>
        <v>4</v>
      </c>
      <c r="L49" s="76">
        <f t="shared" si="61"/>
        <v>3</v>
      </c>
      <c r="M49" s="76">
        <f t="shared" si="61"/>
        <v>6</v>
      </c>
      <c r="N49" s="76">
        <f t="shared" si="57"/>
        <v>35</v>
      </c>
      <c r="O49" s="76">
        <f t="shared" ref="O49:W49" si="62">min(O47:O48)</f>
        <v>4</v>
      </c>
      <c r="P49" s="76">
        <f t="shared" si="62"/>
        <v>5</v>
      </c>
      <c r="Q49" s="76">
        <f t="shared" si="62"/>
        <v>3</v>
      </c>
      <c r="R49" s="76">
        <f t="shared" si="62"/>
        <v>4</v>
      </c>
      <c r="S49" s="76">
        <f t="shared" si="62"/>
        <v>4</v>
      </c>
      <c r="T49" s="76">
        <f t="shared" si="62"/>
        <v>4</v>
      </c>
      <c r="U49" s="76">
        <f t="shared" si="62"/>
        <v>5</v>
      </c>
      <c r="V49" s="76">
        <f t="shared" si="62"/>
        <v>4</v>
      </c>
      <c r="W49" s="76">
        <f t="shared" si="62"/>
        <v>4</v>
      </c>
      <c r="X49" s="76">
        <f t="shared" si="59"/>
        <v>37</v>
      </c>
      <c r="Y49" s="76">
        <f t="shared" si="60"/>
        <v>72</v>
      </c>
    </row>
    <row r="50">
      <c r="A50" s="63">
        <f t="shared" ref="A50:A51" si="65">A15</f>
        <v>3.3</v>
      </c>
      <c r="B50" s="65">
        <f>vlookup(C50,'CGI Finale Teams'!$B$87:$D$106,3,false)</f>
        <v>-9</v>
      </c>
      <c r="C50" s="64" t="str">
        <f t="shared" ref="C50:C51" si="66">C15</f>
        <v>Russ</v>
      </c>
      <c r="D50" s="65">
        <f t="shared" ref="D50:D51" si="67">B50-MAX(B$47:B$51)</f>
        <v>-5</v>
      </c>
      <c r="E50" s="65">
        <f t="shared" ref="E50:M50" si="63">if(E15&gt;0,E15-if( ($D50*-1)&gt;=E$2,1, 0),0)</f>
        <v>5</v>
      </c>
      <c r="F50" s="65">
        <f t="shared" si="63"/>
        <v>4</v>
      </c>
      <c r="G50" s="65">
        <f t="shared" si="63"/>
        <v>3</v>
      </c>
      <c r="H50" s="65">
        <f t="shared" si="63"/>
        <v>3</v>
      </c>
      <c r="I50" s="65">
        <f t="shared" si="63"/>
        <v>3</v>
      </c>
      <c r="J50" s="65">
        <f t="shared" si="63"/>
        <v>4</v>
      </c>
      <c r="K50" s="65">
        <f t="shared" si="63"/>
        <v>5</v>
      </c>
      <c r="L50" s="65">
        <f t="shared" si="63"/>
        <v>4</v>
      </c>
      <c r="M50" s="65">
        <f t="shared" si="63"/>
        <v>7</v>
      </c>
      <c r="N50" s="65">
        <f t="shared" si="57"/>
        <v>38</v>
      </c>
      <c r="O50" s="65">
        <f t="shared" ref="O50:W50" si="64">if(O15&gt;0,O15-if( ($D50*-1)&gt;=O$2,1, 0),0)</f>
        <v>4</v>
      </c>
      <c r="P50" s="65">
        <f t="shared" si="64"/>
        <v>2</v>
      </c>
      <c r="Q50" s="65">
        <f t="shared" si="64"/>
        <v>3</v>
      </c>
      <c r="R50" s="65">
        <f t="shared" si="64"/>
        <v>4</v>
      </c>
      <c r="S50" s="65">
        <f t="shared" si="64"/>
        <v>4</v>
      </c>
      <c r="T50" s="65">
        <f t="shared" si="64"/>
        <v>5</v>
      </c>
      <c r="U50" s="65">
        <f t="shared" si="64"/>
        <v>4</v>
      </c>
      <c r="V50" s="65">
        <f t="shared" si="64"/>
        <v>4</v>
      </c>
      <c r="W50" s="65">
        <f t="shared" si="64"/>
        <v>5</v>
      </c>
      <c r="X50" s="65">
        <f t="shared" si="59"/>
        <v>35</v>
      </c>
      <c r="Y50" s="65">
        <f t="shared" si="60"/>
        <v>73</v>
      </c>
    </row>
    <row r="51">
      <c r="A51" s="63">
        <f t="shared" si="65"/>
        <v>3.4</v>
      </c>
      <c r="B51" s="65">
        <f>vlookup(C51,'CGI Finale Teams'!$B$87:$D$106,3,false)</f>
        <v>-13</v>
      </c>
      <c r="C51" s="64" t="str">
        <f t="shared" si="66"/>
        <v>Jon</v>
      </c>
      <c r="D51" s="65">
        <f t="shared" si="67"/>
        <v>-9</v>
      </c>
      <c r="E51" s="65">
        <f t="shared" ref="E51:M51" si="68">if(E16&gt;0,E16-if( ($D51*-1)&gt;=E$2,1, 0),0)</f>
        <v>3</v>
      </c>
      <c r="F51" s="65">
        <f t="shared" si="68"/>
        <v>6</v>
      </c>
      <c r="G51" s="65">
        <f t="shared" si="68"/>
        <v>6</v>
      </c>
      <c r="H51" s="65">
        <f t="shared" si="68"/>
        <v>5</v>
      </c>
      <c r="I51" s="65">
        <f t="shared" si="68"/>
        <v>4</v>
      </c>
      <c r="J51" s="65">
        <f t="shared" si="68"/>
        <v>5</v>
      </c>
      <c r="K51" s="65">
        <f t="shared" si="68"/>
        <v>8</v>
      </c>
      <c r="L51" s="65">
        <f t="shared" si="68"/>
        <v>5</v>
      </c>
      <c r="M51" s="65">
        <f t="shared" si="68"/>
        <v>7</v>
      </c>
      <c r="N51" s="65">
        <f t="shared" si="57"/>
        <v>49</v>
      </c>
      <c r="O51" s="65">
        <f t="shared" ref="O51:W51" si="69">if(O16&gt;0,O16-if( ($D51*-1)&gt;=O$2,1, 0),0)</f>
        <v>4</v>
      </c>
      <c r="P51" s="65">
        <f t="shared" si="69"/>
        <v>5</v>
      </c>
      <c r="Q51" s="65">
        <f t="shared" si="69"/>
        <v>3</v>
      </c>
      <c r="R51" s="65">
        <f t="shared" si="69"/>
        <v>3</v>
      </c>
      <c r="S51" s="65">
        <f t="shared" si="69"/>
        <v>5</v>
      </c>
      <c r="T51" s="65">
        <f t="shared" si="69"/>
        <v>6</v>
      </c>
      <c r="U51" s="65">
        <f t="shared" si="69"/>
        <v>6</v>
      </c>
      <c r="V51" s="65">
        <f t="shared" si="69"/>
        <v>3</v>
      </c>
      <c r="W51" s="65">
        <f t="shared" si="69"/>
        <v>5</v>
      </c>
      <c r="X51" s="65">
        <f t="shared" si="59"/>
        <v>40</v>
      </c>
      <c r="Y51" s="65">
        <f t="shared" si="60"/>
        <v>89</v>
      </c>
    </row>
    <row r="52">
      <c r="A52" s="63"/>
      <c r="B52" s="65"/>
      <c r="C52" s="76" t="str">
        <f>C50&amp;"/"&amp;C51</f>
        <v>Russ/Jon</v>
      </c>
      <c r="D52" s="77" t="s">
        <v>159</v>
      </c>
      <c r="E52" s="76">
        <f t="shared" ref="E52:M52" si="70">min(E50:E51)</f>
        <v>3</v>
      </c>
      <c r="F52" s="76">
        <f t="shared" si="70"/>
        <v>4</v>
      </c>
      <c r="G52" s="76">
        <f t="shared" si="70"/>
        <v>3</v>
      </c>
      <c r="H52" s="76">
        <f t="shared" si="70"/>
        <v>3</v>
      </c>
      <c r="I52" s="76">
        <f t="shared" si="70"/>
        <v>3</v>
      </c>
      <c r="J52" s="76">
        <f t="shared" si="70"/>
        <v>4</v>
      </c>
      <c r="K52" s="76">
        <f t="shared" si="70"/>
        <v>5</v>
      </c>
      <c r="L52" s="76">
        <f t="shared" si="70"/>
        <v>4</v>
      </c>
      <c r="M52" s="76">
        <f t="shared" si="70"/>
        <v>7</v>
      </c>
      <c r="N52" s="76">
        <f t="shared" si="57"/>
        <v>36</v>
      </c>
      <c r="O52" s="76">
        <f t="shared" ref="O52:W52" si="71">min(O50:O51)</f>
        <v>4</v>
      </c>
      <c r="P52" s="76">
        <f t="shared" si="71"/>
        <v>2</v>
      </c>
      <c r="Q52" s="76">
        <f t="shared" si="71"/>
        <v>3</v>
      </c>
      <c r="R52" s="76">
        <f t="shared" si="71"/>
        <v>3</v>
      </c>
      <c r="S52" s="76">
        <f t="shared" si="71"/>
        <v>4</v>
      </c>
      <c r="T52" s="76">
        <f t="shared" si="71"/>
        <v>5</v>
      </c>
      <c r="U52" s="76">
        <f t="shared" si="71"/>
        <v>4</v>
      </c>
      <c r="V52" s="76">
        <f t="shared" si="71"/>
        <v>3</v>
      </c>
      <c r="W52" s="76">
        <f t="shared" si="71"/>
        <v>5</v>
      </c>
      <c r="X52" s="76">
        <f t="shared" si="59"/>
        <v>33</v>
      </c>
      <c r="Y52" s="76">
        <f t="shared" si="60"/>
        <v>69</v>
      </c>
    </row>
    <row r="53">
      <c r="A53" s="63"/>
      <c r="B53" s="65"/>
      <c r="C53" s="65"/>
      <c r="D53" s="66" t="s">
        <v>160</v>
      </c>
      <c r="E53" s="65">
        <f>if(E52&lt;E49,1,if(E52&gt;E49,-1,0))</f>
        <v>1</v>
      </c>
      <c r="F53" s="65">
        <f t="shared" ref="F53:M53" si="72">if(F52&lt;F49,1,if(F52&gt;F49,-1,0))+E53</f>
        <v>1</v>
      </c>
      <c r="G53" s="65">
        <f t="shared" si="72"/>
        <v>2</v>
      </c>
      <c r="H53" s="65">
        <f t="shared" si="72"/>
        <v>2</v>
      </c>
      <c r="I53" s="65">
        <f t="shared" si="72"/>
        <v>2</v>
      </c>
      <c r="J53" s="65">
        <f t="shared" si="72"/>
        <v>2</v>
      </c>
      <c r="K53" s="65">
        <f t="shared" si="72"/>
        <v>1</v>
      </c>
      <c r="L53" s="65">
        <f t="shared" si="72"/>
        <v>0</v>
      </c>
      <c r="M53" s="65">
        <f t="shared" si="72"/>
        <v>-1</v>
      </c>
      <c r="N53" s="65">
        <f>M53</f>
        <v>-1</v>
      </c>
      <c r="O53" s="65">
        <f t="shared" ref="O53:W53" si="73">if(O52&lt;O49,1,if(O52&gt;O49,-1,0))+N53</f>
        <v>-1</v>
      </c>
      <c r="P53" s="65">
        <f t="shared" si="73"/>
        <v>0</v>
      </c>
      <c r="Q53" s="65">
        <f t="shared" si="73"/>
        <v>0</v>
      </c>
      <c r="R53" s="65">
        <f t="shared" si="73"/>
        <v>1</v>
      </c>
      <c r="S53" s="65">
        <f t="shared" si="73"/>
        <v>1</v>
      </c>
      <c r="T53" s="65">
        <f t="shared" si="73"/>
        <v>0</v>
      </c>
      <c r="U53" s="65">
        <f t="shared" si="73"/>
        <v>1</v>
      </c>
      <c r="V53" s="65">
        <f t="shared" si="73"/>
        <v>2</v>
      </c>
      <c r="W53" s="65">
        <f t="shared" si="73"/>
        <v>1</v>
      </c>
      <c r="X53" s="65">
        <f>W53-N53</f>
        <v>2</v>
      </c>
      <c r="Y53" s="65">
        <f>W53</f>
        <v>1</v>
      </c>
    </row>
    <row r="54">
      <c r="A54" s="75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>
      <c r="A55" s="60" t="s">
        <v>154</v>
      </c>
      <c r="B55" s="62" t="s">
        <v>67</v>
      </c>
      <c r="C55" s="61" t="s">
        <v>2</v>
      </c>
      <c r="D55" s="62" t="s">
        <v>158</v>
      </c>
      <c r="E55" s="60">
        <v>1.0</v>
      </c>
      <c r="F55" s="60">
        <v>2.0</v>
      </c>
      <c r="G55" s="60">
        <v>3.0</v>
      </c>
      <c r="H55" s="60">
        <v>4.0</v>
      </c>
      <c r="I55" s="60">
        <v>5.0</v>
      </c>
      <c r="J55" s="60">
        <v>6.0</v>
      </c>
      <c r="K55" s="60">
        <v>7.0</v>
      </c>
      <c r="L55" s="60">
        <v>8.0</v>
      </c>
      <c r="M55" s="60">
        <v>9.0</v>
      </c>
      <c r="N55" s="60" t="s">
        <v>91</v>
      </c>
      <c r="O55" s="60">
        <v>10.0</v>
      </c>
      <c r="P55" s="60">
        <v>11.0</v>
      </c>
      <c r="Q55" s="60">
        <v>12.0</v>
      </c>
      <c r="R55" s="60">
        <v>13.0</v>
      </c>
      <c r="S55" s="60">
        <v>14.0</v>
      </c>
      <c r="T55" s="60">
        <v>15.0</v>
      </c>
      <c r="U55" s="60">
        <v>16.0</v>
      </c>
      <c r="V55" s="60">
        <v>17.0</v>
      </c>
      <c r="W55" s="60">
        <v>18.0</v>
      </c>
      <c r="X55" s="60" t="s">
        <v>73</v>
      </c>
      <c r="Y55" s="60" t="s">
        <v>35</v>
      </c>
    </row>
    <row r="56">
      <c r="A56" s="63">
        <f t="shared" ref="A56:A57" si="76">A17</f>
        <v>4.1</v>
      </c>
      <c r="B56" s="65">
        <f>vlookup(C56,'CGI Finale Teams'!$B$87:$D$106,3,false)</f>
        <v>-16</v>
      </c>
      <c r="C56" s="64" t="str">
        <f t="shared" ref="C56:C57" si="77">C17</f>
        <v>Martin</v>
      </c>
      <c r="D56" s="65">
        <f t="shared" ref="D56:D57" si="78">B56-MAX(B$56:B$60)</f>
        <v>0</v>
      </c>
      <c r="E56" s="65">
        <f t="shared" ref="E56:M56" si="74">if(E17&gt;0,E17-if( ($D56*-1)&gt;=E$2,1, 0),0)</f>
        <v>0</v>
      </c>
      <c r="F56" s="65">
        <f t="shared" si="74"/>
        <v>0</v>
      </c>
      <c r="G56" s="65">
        <f t="shared" si="74"/>
        <v>0</v>
      </c>
      <c r="H56" s="65">
        <f t="shared" si="74"/>
        <v>0</v>
      </c>
      <c r="I56" s="65">
        <f t="shared" si="74"/>
        <v>0</v>
      </c>
      <c r="J56" s="65">
        <f t="shared" si="74"/>
        <v>0</v>
      </c>
      <c r="K56" s="65">
        <f t="shared" si="74"/>
        <v>0</v>
      </c>
      <c r="L56" s="65">
        <f t="shared" si="74"/>
        <v>0</v>
      </c>
      <c r="M56" s="65">
        <f t="shared" si="74"/>
        <v>0</v>
      </c>
      <c r="N56" s="65">
        <f t="shared" ref="N56:N61" si="80">sum(E56:M56)</f>
        <v>0</v>
      </c>
      <c r="O56" s="65">
        <f t="shared" ref="O56:W56" si="75">if(O17&gt;0,O17-if( ($D56*-1)&gt;=O$2,1, 0),0)</f>
        <v>0</v>
      </c>
      <c r="P56" s="65">
        <f t="shared" si="75"/>
        <v>0</v>
      </c>
      <c r="Q56" s="65">
        <f t="shared" si="75"/>
        <v>0</v>
      </c>
      <c r="R56" s="65">
        <f t="shared" si="75"/>
        <v>0</v>
      </c>
      <c r="S56" s="65">
        <f t="shared" si="75"/>
        <v>0</v>
      </c>
      <c r="T56" s="65">
        <f t="shared" si="75"/>
        <v>0</v>
      </c>
      <c r="U56" s="65">
        <f t="shared" si="75"/>
        <v>0</v>
      </c>
      <c r="V56" s="65">
        <f t="shared" si="75"/>
        <v>0</v>
      </c>
      <c r="W56" s="65">
        <f t="shared" si="75"/>
        <v>0</v>
      </c>
      <c r="X56" s="65">
        <f t="shared" ref="X56:X61" si="82">sum(O56:W56)</f>
        <v>0</v>
      </c>
      <c r="Y56" s="65">
        <f t="shared" ref="Y56:Y61" si="83">N56+X56</f>
        <v>0</v>
      </c>
    </row>
    <row r="57">
      <c r="A57" s="63">
        <f t="shared" si="76"/>
        <v>4.2</v>
      </c>
      <c r="B57" s="65">
        <f>vlookup(C57,'CGI Finale Teams'!$B$87:$D$106,3,false)</f>
        <v>-17</v>
      </c>
      <c r="C57" s="64" t="str">
        <f t="shared" si="77"/>
        <v>James</v>
      </c>
      <c r="D57" s="65">
        <f t="shared" si="78"/>
        <v>-1</v>
      </c>
      <c r="E57" s="65">
        <f t="shared" ref="E57:M57" si="79">if(E18&gt;0,E18-if( ($D57*-1)&gt;=E$2,1, 0),0)</f>
        <v>0</v>
      </c>
      <c r="F57" s="65">
        <f t="shared" si="79"/>
        <v>0</v>
      </c>
      <c r="G57" s="65">
        <f t="shared" si="79"/>
        <v>0</v>
      </c>
      <c r="H57" s="65">
        <f t="shared" si="79"/>
        <v>0</v>
      </c>
      <c r="I57" s="65">
        <f t="shared" si="79"/>
        <v>0</v>
      </c>
      <c r="J57" s="65">
        <f t="shared" si="79"/>
        <v>0</v>
      </c>
      <c r="K57" s="65">
        <f t="shared" si="79"/>
        <v>0</v>
      </c>
      <c r="L57" s="65">
        <f t="shared" si="79"/>
        <v>0</v>
      </c>
      <c r="M57" s="65">
        <f t="shared" si="79"/>
        <v>0</v>
      </c>
      <c r="N57" s="65">
        <f t="shared" si="80"/>
        <v>0</v>
      </c>
      <c r="O57" s="65">
        <f t="shared" ref="O57:W57" si="81">if(O18&gt;0,O18-if( ($D57*-1)&gt;=O$2,1, 0),0)</f>
        <v>0</v>
      </c>
      <c r="P57" s="65">
        <f t="shared" si="81"/>
        <v>0</v>
      </c>
      <c r="Q57" s="65">
        <f t="shared" si="81"/>
        <v>0</v>
      </c>
      <c r="R57" s="65">
        <f t="shared" si="81"/>
        <v>0</v>
      </c>
      <c r="S57" s="65">
        <f t="shared" si="81"/>
        <v>0</v>
      </c>
      <c r="T57" s="65">
        <f t="shared" si="81"/>
        <v>0</v>
      </c>
      <c r="U57" s="65">
        <f t="shared" si="81"/>
        <v>0</v>
      </c>
      <c r="V57" s="65">
        <f t="shared" si="81"/>
        <v>0</v>
      </c>
      <c r="W57" s="65">
        <f t="shared" si="81"/>
        <v>0</v>
      </c>
      <c r="X57" s="65">
        <f t="shared" si="82"/>
        <v>0</v>
      </c>
      <c r="Y57" s="65">
        <f t="shared" si="83"/>
        <v>0</v>
      </c>
    </row>
    <row r="58">
      <c r="A58" s="63"/>
      <c r="B58" s="65"/>
      <c r="C58" s="76" t="str">
        <f>C56&amp;"/"&amp;C57</f>
        <v>Martin/James</v>
      </c>
      <c r="D58" s="77" t="s">
        <v>159</v>
      </c>
      <c r="E58" s="76">
        <f t="shared" ref="E58:M58" si="84">min(E56:E57)</f>
        <v>0</v>
      </c>
      <c r="F58" s="76">
        <f t="shared" si="84"/>
        <v>0</v>
      </c>
      <c r="G58" s="76">
        <f t="shared" si="84"/>
        <v>0</v>
      </c>
      <c r="H58" s="76">
        <f t="shared" si="84"/>
        <v>0</v>
      </c>
      <c r="I58" s="76">
        <f t="shared" si="84"/>
        <v>0</v>
      </c>
      <c r="J58" s="76">
        <f t="shared" si="84"/>
        <v>0</v>
      </c>
      <c r="K58" s="76">
        <f t="shared" si="84"/>
        <v>0</v>
      </c>
      <c r="L58" s="76">
        <f t="shared" si="84"/>
        <v>0</v>
      </c>
      <c r="M58" s="76">
        <f t="shared" si="84"/>
        <v>0</v>
      </c>
      <c r="N58" s="76">
        <f t="shared" si="80"/>
        <v>0</v>
      </c>
      <c r="O58" s="76">
        <f t="shared" ref="O58:W58" si="85">min(O56:O57)</f>
        <v>0</v>
      </c>
      <c r="P58" s="76">
        <f t="shared" si="85"/>
        <v>0</v>
      </c>
      <c r="Q58" s="76">
        <f t="shared" si="85"/>
        <v>0</v>
      </c>
      <c r="R58" s="76">
        <f t="shared" si="85"/>
        <v>0</v>
      </c>
      <c r="S58" s="76">
        <f t="shared" si="85"/>
        <v>0</v>
      </c>
      <c r="T58" s="76">
        <f t="shared" si="85"/>
        <v>0</v>
      </c>
      <c r="U58" s="76">
        <f t="shared" si="85"/>
        <v>0</v>
      </c>
      <c r="V58" s="76">
        <f t="shared" si="85"/>
        <v>0</v>
      </c>
      <c r="W58" s="76">
        <f t="shared" si="85"/>
        <v>0</v>
      </c>
      <c r="X58" s="76">
        <f t="shared" si="82"/>
        <v>0</v>
      </c>
      <c r="Y58" s="76">
        <f t="shared" si="83"/>
        <v>0</v>
      </c>
    </row>
    <row r="59">
      <c r="A59" s="63">
        <f t="shared" ref="A59:A60" si="88">A19</f>
        <v>4.3</v>
      </c>
      <c r="B59" s="65">
        <f>vlookup(C59,'CGI Finale Teams'!$B$87:$D$106,3,false)</f>
        <v>-16</v>
      </c>
      <c r="C59" s="64" t="str">
        <f t="shared" ref="C59:C60" si="89">C19</f>
        <v>Mark</v>
      </c>
      <c r="D59" s="65">
        <f t="shared" ref="D59:D60" si="90">B59-MAX(B$56:B$60)</f>
        <v>0</v>
      </c>
      <c r="E59" s="65">
        <f t="shared" ref="E59:M59" si="86">if(E19&gt;0,E19-if( ($D59*-1)&gt;=E$2,1, 0),0)</f>
        <v>0</v>
      </c>
      <c r="F59" s="65">
        <f t="shared" si="86"/>
        <v>0</v>
      </c>
      <c r="G59" s="65">
        <f t="shared" si="86"/>
        <v>0</v>
      </c>
      <c r="H59" s="65">
        <f t="shared" si="86"/>
        <v>0</v>
      </c>
      <c r="I59" s="65">
        <f t="shared" si="86"/>
        <v>0</v>
      </c>
      <c r="J59" s="65">
        <f t="shared" si="86"/>
        <v>0</v>
      </c>
      <c r="K59" s="65">
        <f t="shared" si="86"/>
        <v>0</v>
      </c>
      <c r="L59" s="65">
        <f t="shared" si="86"/>
        <v>0</v>
      </c>
      <c r="M59" s="65">
        <f t="shared" si="86"/>
        <v>0</v>
      </c>
      <c r="N59" s="65">
        <f t="shared" si="80"/>
        <v>0</v>
      </c>
      <c r="O59" s="65">
        <f t="shared" ref="O59:W59" si="87">if(O19&gt;0,O19-if( ($D59*-1)&gt;=O$2,1, 0),0)</f>
        <v>0</v>
      </c>
      <c r="P59" s="65">
        <f t="shared" si="87"/>
        <v>0</v>
      </c>
      <c r="Q59" s="65">
        <f t="shared" si="87"/>
        <v>0</v>
      </c>
      <c r="R59" s="65">
        <f t="shared" si="87"/>
        <v>0</v>
      </c>
      <c r="S59" s="65">
        <f t="shared" si="87"/>
        <v>0</v>
      </c>
      <c r="T59" s="65">
        <f t="shared" si="87"/>
        <v>0</v>
      </c>
      <c r="U59" s="65">
        <f t="shared" si="87"/>
        <v>0</v>
      </c>
      <c r="V59" s="65">
        <f t="shared" si="87"/>
        <v>0</v>
      </c>
      <c r="W59" s="65">
        <f t="shared" si="87"/>
        <v>0</v>
      </c>
      <c r="X59" s="65">
        <f t="shared" si="82"/>
        <v>0</v>
      </c>
      <c r="Y59" s="65">
        <f t="shared" si="83"/>
        <v>0</v>
      </c>
    </row>
    <row r="60">
      <c r="A60" s="63">
        <f t="shared" si="88"/>
        <v>4.4</v>
      </c>
      <c r="B60" s="65">
        <f>vlookup(C60,'CGI Finale Teams'!$B$87:$D$106,3,false)</f>
        <v>-19</v>
      </c>
      <c r="C60" s="64" t="str">
        <f t="shared" si="89"/>
        <v>Cam</v>
      </c>
      <c r="D60" s="65">
        <f t="shared" si="90"/>
        <v>-3</v>
      </c>
      <c r="E60" s="65">
        <f t="shared" ref="E60:M60" si="91">if(E20&gt;0,E20-if( ($D60*-1)&gt;=E$2,1, 0),0)</f>
        <v>0</v>
      </c>
      <c r="F60" s="65">
        <f t="shared" si="91"/>
        <v>0</v>
      </c>
      <c r="G60" s="65">
        <f t="shared" si="91"/>
        <v>0</v>
      </c>
      <c r="H60" s="65">
        <f t="shared" si="91"/>
        <v>0</v>
      </c>
      <c r="I60" s="65">
        <f t="shared" si="91"/>
        <v>0</v>
      </c>
      <c r="J60" s="65">
        <f t="shared" si="91"/>
        <v>0</v>
      </c>
      <c r="K60" s="65">
        <f t="shared" si="91"/>
        <v>0</v>
      </c>
      <c r="L60" s="65">
        <f t="shared" si="91"/>
        <v>0</v>
      </c>
      <c r="M60" s="65">
        <f t="shared" si="91"/>
        <v>0</v>
      </c>
      <c r="N60" s="65">
        <f t="shared" si="80"/>
        <v>0</v>
      </c>
      <c r="O60" s="65">
        <f t="shared" ref="O60:W60" si="92">if(O20&gt;0,O20-if( ($D60*-1)&gt;=O$2,1, 0),0)</f>
        <v>0</v>
      </c>
      <c r="P60" s="65">
        <f t="shared" si="92"/>
        <v>0</v>
      </c>
      <c r="Q60" s="65">
        <f t="shared" si="92"/>
        <v>0</v>
      </c>
      <c r="R60" s="65">
        <f t="shared" si="92"/>
        <v>0</v>
      </c>
      <c r="S60" s="65">
        <f t="shared" si="92"/>
        <v>0</v>
      </c>
      <c r="T60" s="65">
        <f t="shared" si="92"/>
        <v>0</v>
      </c>
      <c r="U60" s="65">
        <f t="shared" si="92"/>
        <v>0</v>
      </c>
      <c r="V60" s="65">
        <f t="shared" si="92"/>
        <v>0</v>
      </c>
      <c r="W60" s="65">
        <f t="shared" si="92"/>
        <v>0</v>
      </c>
      <c r="X60" s="65">
        <f t="shared" si="82"/>
        <v>0</v>
      </c>
      <c r="Y60" s="65">
        <f t="shared" si="83"/>
        <v>0</v>
      </c>
    </row>
    <row r="61">
      <c r="A61" s="63"/>
      <c r="B61" s="65"/>
      <c r="C61" s="76" t="str">
        <f>C59&amp;"/"&amp;C60</f>
        <v>Mark/Cam</v>
      </c>
      <c r="D61" s="77" t="s">
        <v>159</v>
      </c>
      <c r="E61" s="76">
        <f t="shared" ref="E61:M61" si="93">min(E59:E60)</f>
        <v>0</v>
      </c>
      <c r="F61" s="76">
        <f t="shared" si="93"/>
        <v>0</v>
      </c>
      <c r="G61" s="76">
        <f t="shared" si="93"/>
        <v>0</v>
      </c>
      <c r="H61" s="76">
        <f t="shared" si="93"/>
        <v>0</v>
      </c>
      <c r="I61" s="76">
        <f t="shared" si="93"/>
        <v>0</v>
      </c>
      <c r="J61" s="76">
        <f t="shared" si="93"/>
        <v>0</v>
      </c>
      <c r="K61" s="76">
        <f t="shared" si="93"/>
        <v>0</v>
      </c>
      <c r="L61" s="76">
        <f t="shared" si="93"/>
        <v>0</v>
      </c>
      <c r="M61" s="76">
        <f t="shared" si="93"/>
        <v>0</v>
      </c>
      <c r="N61" s="76">
        <f t="shared" si="80"/>
        <v>0</v>
      </c>
      <c r="O61" s="76">
        <f t="shared" ref="O61:W61" si="94">min(O59:O60)</f>
        <v>0</v>
      </c>
      <c r="P61" s="76">
        <f t="shared" si="94"/>
        <v>0</v>
      </c>
      <c r="Q61" s="76">
        <f t="shared" si="94"/>
        <v>0</v>
      </c>
      <c r="R61" s="76">
        <f t="shared" si="94"/>
        <v>0</v>
      </c>
      <c r="S61" s="76">
        <f t="shared" si="94"/>
        <v>0</v>
      </c>
      <c r="T61" s="76">
        <f t="shared" si="94"/>
        <v>0</v>
      </c>
      <c r="U61" s="76">
        <f t="shared" si="94"/>
        <v>0</v>
      </c>
      <c r="V61" s="76">
        <f t="shared" si="94"/>
        <v>0</v>
      </c>
      <c r="W61" s="76">
        <f t="shared" si="94"/>
        <v>0</v>
      </c>
      <c r="X61" s="76">
        <f t="shared" si="82"/>
        <v>0</v>
      </c>
      <c r="Y61" s="76">
        <f t="shared" si="83"/>
        <v>0</v>
      </c>
    </row>
    <row r="62">
      <c r="A62" s="63"/>
      <c r="B62" s="65"/>
      <c r="C62" s="65"/>
      <c r="D62" s="66" t="s">
        <v>160</v>
      </c>
      <c r="E62" s="65">
        <f>if(E61&lt;E58,1,if(E61&gt;E58,-1,0))</f>
        <v>0</v>
      </c>
      <c r="F62" s="65">
        <f t="shared" ref="F62:M62" si="95">if(F61&lt;F58,1,if(F61&gt;F58,-1,0))+E62</f>
        <v>0</v>
      </c>
      <c r="G62" s="65">
        <f t="shared" si="95"/>
        <v>0</v>
      </c>
      <c r="H62" s="65">
        <f t="shared" si="95"/>
        <v>0</v>
      </c>
      <c r="I62" s="65">
        <f t="shared" si="95"/>
        <v>0</v>
      </c>
      <c r="J62" s="65">
        <f t="shared" si="95"/>
        <v>0</v>
      </c>
      <c r="K62" s="65">
        <f t="shared" si="95"/>
        <v>0</v>
      </c>
      <c r="L62" s="65">
        <f t="shared" si="95"/>
        <v>0</v>
      </c>
      <c r="M62" s="65">
        <f t="shared" si="95"/>
        <v>0</v>
      </c>
      <c r="N62" s="65">
        <f>M62</f>
        <v>0</v>
      </c>
      <c r="O62" s="65">
        <f t="shared" ref="O62:W62" si="96">if(O61&lt;O58,1,if(O61&gt;O58,-1,0))+N62</f>
        <v>0</v>
      </c>
      <c r="P62" s="65">
        <f t="shared" si="96"/>
        <v>0</v>
      </c>
      <c r="Q62" s="65">
        <f t="shared" si="96"/>
        <v>0</v>
      </c>
      <c r="R62" s="65">
        <f t="shared" si="96"/>
        <v>0</v>
      </c>
      <c r="S62" s="65">
        <f t="shared" si="96"/>
        <v>0</v>
      </c>
      <c r="T62" s="65">
        <f t="shared" si="96"/>
        <v>0</v>
      </c>
      <c r="U62" s="65">
        <f t="shared" si="96"/>
        <v>0</v>
      </c>
      <c r="V62" s="65">
        <f t="shared" si="96"/>
        <v>0</v>
      </c>
      <c r="W62" s="65">
        <f t="shared" si="96"/>
        <v>0</v>
      </c>
      <c r="X62" s="65">
        <f>W62-N62</f>
        <v>0</v>
      </c>
      <c r="Y62" s="65">
        <f>W62</f>
        <v>0</v>
      </c>
    </row>
    <row r="63">
      <c r="A63" s="75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</row>
    <row r="64">
      <c r="A64" s="60" t="s">
        <v>154</v>
      </c>
      <c r="B64" s="62" t="s">
        <v>67</v>
      </c>
      <c r="C64" s="61" t="s">
        <v>2</v>
      </c>
      <c r="D64" s="62" t="s">
        <v>158</v>
      </c>
      <c r="E64" s="60">
        <v>1.0</v>
      </c>
      <c r="F64" s="60">
        <v>2.0</v>
      </c>
      <c r="G64" s="60">
        <v>3.0</v>
      </c>
      <c r="H64" s="60">
        <v>4.0</v>
      </c>
      <c r="I64" s="60">
        <v>5.0</v>
      </c>
      <c r="J64" s="60">
        <v>6.0</v>
      </c>
      <c r="K64" s="60">
        <v>7.0</v>
      </c>
      <c r="L64" s="60">
        <v>8.0</v>
      </c>
      <c r="M64" s="60">
        <v>9.0</v>
      </c>
      <c r="N64" s="60" t="s">
        <v>91</v>
      </c>
      <c r="O64" s="60">
        <v>10.0</v>
      </c>
      <c r="P64" s="60">
        <v>11.0</v>
      </c>
      <c r="Q64" s="60">
        <v>12.0</v>
      </c>
      <c r="R64" s="60">
        <v>13.0</v>
      </c>
      <c r="S64" s="60">
        <v>14.0</v>
      </c>
      <c r="T64" s="60">
        <v>15.0</v>
      </c>
      <c r="U64" s="60">
        <v>16.0</v>
      </c>
      <c r="V64" s="60">
        <v>17.0</v>
      </c>
      <c r="W64" s="60">
        <v>18.0</v>
      </c>
      <c r="X64" s="60" t="s">
        <v>73</v>
      </c>
      <c r="Y64" s="60" t="s">
        <v>35</v>
      </c>
    </row>
    <row r="65">
      <c r="A65" s="63">
        <f t="shared" ref="A65:A66" si="99">A21</f>
        <v>5.1</v>
      </c>
      <c r="B65" s="65">
        <f>vlookup(C65,'CGI Finale Teams'!$B$87:$D$106,3,false)</f>
        <v>-32</v>
      </c>
      <c r="C65" s="64" t="str">
        <f t="shared" ref="C65:C66" si="100">C21</f>
        <v>Nate</v>
      </c>
      <c r="D65" s="65">
        <f t="shared" ref="D65:D66" si="101">B65-MAX(B$65:B$69)</f>
        <v>-15</v>
      </c>
      <c r="E65" s="65">
        <f t="shared" ref="E65:M65" si="97">if(E21&gt;0,E21-if( ($D65*-1)&gt;=E$2,1, 0),0)</f>
        <v>0</v>
      </c>
      <c r="F65" s="65">
        <f t="shared" si="97"/>
        <v>0</v>
      </c>
      <c r="G65" s="65">
        <f t="shared" si="97"/>
        <v>0</v>
      </c>
      <c r="H65" s="65">
        <f t="shared" si="97"/>
        <v>0</v>
      </c>
      <c r="I65" s="65">
        <f t="shared" si="97"/>
        <v>0</v>
      </c>
      <c r="J65" s="65">
        <f t="shared" si="97"/>
        <v>0</v>
      </c>
      <c r="K65" s="65">
        <f t="shared" si="97"/>
        <v>0</v>
      </c>
      <c r="L65" s="65">
        <f t="shared" si="97"/>
        <v>0</v>
      </c>
      <c r="M65" s="65">
        <f t="shared" si="97"/>
        <v>0</v>
      </c>
      <c r="N65" s="65">
        <f t="shared" ref="N65:N70" si="103">sum(E65:M65)</f>
        <v>0</v>
      </c>
      <c r="O65" s="65">
        <f t="shared" ref="O65:W65" si="98">if(O21&gt;0,O21-if( ($D65*-1)&gt;=O$2,1, 0),0)</f>
        <v>0</v>
      </c>
      <c r="P65" s="65">
        <f t="shared" si="98"/>
        <v>0</v>
      </c>
      <c r="Q65" s="65">
        <f t="shared" si="98"/>
        <v>0</v>
      </c>
      <c r="R65" s="65">
        <f t="shared" si="98"/>
        <v>0</v>
      </c>
      <c r="S65" s="65">
        <f t="shared" si="98"/>
        <v>0</v>
      </c>
      <c r="T65" s="65">
        <f t="shared" si="98"/>
        <v>0</v>
      </c>
      <c r="U65" s="65">
        <f t="shared" si="98"/>
        <v>0</v>
      </c>
      <c r="V65" s="65">
        <f t="shared" si="98"/>
        <v>0</v>
      </c>
      <c r="W65" s="65">
        <f t="shared" si="98"/>
        <v>0</v>
      </c>
      <c r="X65" s="65">
        <f t="shared" ref="X65:X70" si="105">sum(O65:W65)</f>
        <v>0</v>
      </c>
      <c r="Y65" s="65">
        <f t="shared" ref="Y65:Y70" si="106">N65+X65</f>
        <v>0</v>
      </c>
    </row>
    <row r="66">
      <c r="A66" s="63">
        <f t="shared" si="99"/>
        <v>5.2</v>
      </c>
      <c r="B66" s="65">
        <f>vlookup(C66,'CGI Finale Teams'!$B$87:$D$106,3,false)</f>
        <v>-24</v>
      </c>
      <c r="C66" s="64" t="str">
        <f t="shared" si="100"/>
        <v>Dan</v>
      </c>
      <c r="D66" s="65">
        <f t="shared" si="101"/>
        <v>-7</v>
      </c>
      <c r="E66" s="65">
        <f t="shared" ref="E66:M66" si="102">if(E22&gt;0,E22-if( ($D66*-1)&gt;=E$2,1, 0),0)</f>
        <v>4</v>
      </c>
      <c r="F66" s="65">
        <f t="shared" si="102"/>
        <v>4</v>
      </c>
      <c r="G66" s="65">
        <f t="shared" si="102"/>
        <v>5</v>
      </c>
      <c r="H66" s="65">
        <f t="shared" si="102"/>
        <v>3</v>
      </c>
      <c r="I66" s="65">
        <f t="shared" si="102"/>
        <v>5</v>
      </c>
      <c r="J66" s="65">
        <f t="shared" si="102"/>
        <v>4</v>
      </c>
      <c r="K66" s="65">
        <f t="shared" si="102"/>
        <v>5</v>
      </c>
      <c r="L66" s="65">
        <f t="shared" si="102"/>
        <v>6</v>
      </c>
      <c r="M66" s="65">
        <f t="shared" si="102"/>
        <v>7</v>
      </c>
      <c r="N66" s="65">
        <f t="shared" si="103"/>
        <v>43</v>
      </c>
      <c r="O66" s="65">
        <f t="shared" ref="O66:W66" si="104">if(O22&gt;0,O22-if( ($D66*-1)&gt;=O$2,1, 0),0)</f>
        <v>4</v>
      </c>
      <c r="P66" s="65">
        <f t="shared" si="104"/>
        <v>5</v>
      </c>
      <c r="Q66" s="65">
        <f t="shared" si="104"/>
        <v>4</v>
      </c>
      <c r="R66" s="65">
        <f t="shared" si="104"/>
        <v>6</v>
      </c>
      <c r="S66" s="65">
        <f t="shared" si="104"/>
        <v>5</v>
      </c>
      <c r="T66" s="65">
        <f t="shared" si="104"/>
        <v>3</v>
      </c>
      <c r="U66" s="65">
        <f t="shared" si="104"/>
        <v>5</v>
      </c>
      <c r="V66" s="65">
        <f t="shared" si="104"/>
        <v>4</v>
      </c>
      <c r="W66" s="65">
        <f t="shared" si="104"/>
        <v>4</v>
      </c>
      <c r="X66" s="65">
        <f t="shared" si="105"/>
        <v>40</v>
      </c>
      <c r="Y66" s="65">
        <f t="shared" si="106"/>
        <v>83</v>
      </c>
    </row>
    <row r="67">
      <c r="A67" s="63"/>
      <c r="B67" s="65"/>
      <c r="C67" s="76" t="str">
        <f>C65&amp;"/"&amp;C66</f>
        <v>Nate/Dan</v>
      </c>
      <c r="D67" s="77" t="s">
        <v>159</v>
      </c>
      <c r="E67" s="76">
        <f t="shared" ref="E67:M67" si="107">min(E65:E66)</f>
        <v>0</v>
      </c>
      <c r="F67" s="76">
        <f t="shared" si="107"/>
        <v>0</v>
      </c>
      <c r="G67" s="76">
        <f t="shared" si="107"/>
        <v>0</v>
      </c>
      <c r="H67" s="76">
        <f t="shared" si="107"/>
        <v>0</v>
      </c>
      <c r="I67" s="76">
        <f t="shared" si="107"/>
        <v>0</v>
      </c>
      <c r="J67" s="76">
        <f t="shared" si="107"/>
        <v>0</v>
      </c>
      <c r="K67" s="76">
        <f t="shared" si="107"/>
        <v>0</v>
      </c>
      <c r="L67" s="76">
        <f t="shared" si="107"/>
        <v>0</v>
      </c>
      <c r="M67" s="76">
        <f t="shared" si="107"/>
        <v>0</v>
      </c>
      <c r="N67" s="76">
        <f t="shared" si="103"/>
        <v>0</v>
      </c>
      <c r="O67" s="76">
        <f t="shared" ref="O67:W67" si="108">min(O65:O66)</f>
        <v>0</v>
      </c>
      <c r="P67" s="76">
        <f t="shared" si="108"/>
        <v>0</v>
      </c>
      <c r="Q67" s="76">
        <f t="shared" si="108"/>
        <v>0</v>
      </c>
      <c r="R67" s="76">
        <f t="shared" si="108"/>
        <v>0</v>
      </c>
      <c r="S67" s="76">
        <f t="shared" si="108"/>
        <v>0</v>
      </c>
      <c r="T67" s="76">
        <f t="shared" si="108"/>
        <v>0</v>
      </c>
      <c r="U67" s="76">
        <f t="shared" si="108"/>
        <v>0</v>
      </c>
      <c r="V67" s="76">
        <f t="shared" si="108"/>
        <v>0</v>
      </c>
      <c r="W67" s="76">
        <f t="shared" si="108"/>
        <v>0</v>
      </c>
      <c r="X67" s="76">
        <f t="shared" si="105"/>
        <v>0</v>
      </c>
      <c r="Y67" s="76">
        <f t="shared" si="106"/>
        <v>0</v>
      </c>
    </row>
    <row r="68">
      <c r="A68" s="63">
        <f t="shared" ref="A68:A69" si="111">A23</f>
        <v>5.3</v>
      </c>
      <c r="B68" s="65">
        <f>vlookup(C68,'CGI Finale Teams'!$B$87:$D$106,3,false)</f>
        <v>-17</v>
      </c>
      <c r="C68" s="64" t="str">
        <f t="shared" ref="C68:C69" si="112">C23</f>
        <v>Jonah</v>
      </c>
      <c r="D68" s="65">
        <f t="shared" ref="D68:D69" si="113">B68-MAX(B$65:B$69)</f>
        <v>0</v>
      </c>
      <c r="E68" s="65">
        <f t="shared" ref="E68:M68" si="109">if(E23&gt;0,E23-if( ($D68*-1)&gt;=E$2,1, 0),0)</f>
        <v>5</v>
      </c>
      <c r="F68" s="65">
        <f t="shared" si="109"/>
        <v>5</v>
      </c>
      <c r="G68" s="65">
        <f t="shared" si="109"/>
        <v>6</v>
      </c>
      <c r="H68" s="65">
        <f t="shared" si="109"/>
        <v>5</v>
      </c>
      <c r="I68" s="65">
        <f t="shared" si="109"/>
        <v>6</v>
      </c>
      <c r="J68" s="65">
        <f t="shared" si="109"/>
        <v>5</v>
      </c>
      <c r="K68" s="65">
        <f t="shared" si="109"/>
        <v>5</v>
      </c>
      <c r="L68" s="65">
        <f t="shared" si="109"/>
        <v>5</v>
      </c>
      <c r="M68" s="65">
        <f t="shared" si="109"/>
        <v>6</v>
      </c>
      <c r="N68" s="65">
        <f t="shared" si="103"/>
        <v>48</v>
      </c>
      <c r="O68" s="65">
        <f t="shared" ref="O68:W68" si="110">if(O23&gt;0,O23-if( ($D68*-1)&gt;=O$2,1, 0),0)</f>
        <v>4</v>
      </c>
      <c r="P68" s="65">
        <f t="shared" si="110"/>
        <v>6</v>
      </c>
      <c r="Q68" s="65">
        <f t="shared" si="110"/>
        <v>4</v>
      </c>
      <c r="R68" s="65">
        <f t="shared" si="110"/>
        <v>6</v>
      </c>
      <c r="S68" s="65">
        <f t="shared" si="110"/>
        <v>4</v>
      </c>
      <c r="T68" s="65">
        <f t="shared" si="110"/>
        <v>4</v>
      </c>
      <c r="U68" s="65">
        <f t="shared" si="110"/>
        <v>5</v>
      </c>
      <c r="V68" s="65">
        <f t="shared" si="110"/>
        <v>3</v>
      </c>
      <c r="W68" s="65">
        <f t="shared" si="110"/>
        <v>4</v>
      </c>
      <c r="X68" s="65">
        <f t="shared" si="105"/>
        <v>40</v>
      </c>
      <c r="Y68" s="65">
        <f t="shared" si="106"/>
        <v>88</v>
      </c>
    </row>
    <row r="69">
      <c r="A69" s="63">
        <f t="shared" si="111"/>
        <v>5.4</v>
      </c>
      <c r="B69" s="65">
        <f>vlookup(C69,'CGI Finale Teams'!$B$87:$D$106,3,false)</f>
        <v>-34</v>
      </c>
      <c r="C69" s="64" t="str">
        <f t="shared" si="112"/>
        <v>Josh</v>
      </c>
      <c r="D69" s="65">
        <f t="shared" si="113"/>
        <v>-17</v>
      </c>
      <c r="E69" s="65">
        <f t="shared" ref="E69:M69" si="114">if(E24&gt;0,E24-if( ($D69*-1)&gt;=E$2,1, 0),0)</f>
        <v>0</v>
      </c>
      <c r="F69" s="65">
        <f t="shared" si="114"/>
        <v>0</v>
      </c>
      <c r="G69" s="65">
        <f t="shared" si="114"/>
        <v>0</v>
      </c>
      <c r="H69" s="65">
        <f t="shared" si="114"/>
        <v>0</v>
      </c>
      <c r="I69" s="65">
        <f t="shared" si="114"/>
        <v>0</v>
      </c>
      <c r="J69" s="65">
        <f t="shared" si="114"/>
        <v>0</v>
      </c>
      <c r="K69" s="65">
        <f t="shared" si="114"/>
        <v>0</v>
      </c>
      <c r="L69" s="65">
        <f t="shared" si="114"/>
        <v>0</v>
      </c>
      <c r="M69" s="65">
        <f t="shared" si="114"/>
        <v>0</v>
      </c>
      <c r="N69" s="65">
        <f t="shared" si="103"/>
        <v>0</v>
      </c>
      <c r="O69" s="65">
        <f t="shared" ref="O69:W69" si="115">if(O24&gt;0,O24-if( ($D69*-1)&gt;=O$2,1, 0),0)</f>
        <v>0</v>
      </c>
      <c r="P69" s="65">
        <f t="shared" si="115"/>
        <v>0</v>
      </c>
      <c r="Q69" s="65">
        <f t="shared" si="115"/>
        <v>0</v>
      </c>
      <c r="R69" s="65">
        <f t="shared" si="115"/>
        <v>0</v>
      </c>
      <c r="S69" s="65">
        <f t="shared" si="115"/>
        <v>0</v>
      </c>
      <c r="T69" s="65">
        <f t="shared" si="115"/>
        <v>0</v>
      </c>
      <c r="U69" s="65">
        <f t="shared" si="115"/>
        <v>0</v>
      </c>
      <c r="V69" s="65">
        <f t="shared" si="115"/>
        <v>0</v>
      </c>
      <c r="W69" s="65">
        <f t="shared" si="115"/>
        <v>0</v>
      </c>
      <c r="X69" s="65">
        <f t="shared" si="105"/>
        <v>0</v>
      </c>
      <c r="Y69" s="65">
        <f t="shared" si="106"/>
        <v>0</v>
      </c>
    </row>
    <row r="70">
      <c r="A70" s="63"/>
      <c r="B70" s="65"/>
      <c r="C70" s="76" t="str">
        <f>C68&amp;"/"&amp;C69</f>
        <v>Jonah/Josh</v>
      </c>
      <c r="D70" s="77" t="s">
        <v>159</v>
      </c>
      <c r="E70" s="76">
        <f t="shared" ref="E70:M70" si="116">min(E68:E69)</f>
        <v>0</v>
      </c>
      <c r="F70" s="76">
        <f t="shared" si="116"/>
        <v>0</v>
      </c>
      <c r="G70" s="76">
        <f t="shared" si="116"/>
        <v>0</v>
      </c>
      <c r="H70" s="76">
        <f t="shared" si="116"/>
        <v>0</v>
      </c>
      <c r="I70" s="76">
        <f t="shared" si="116"/>
        <v>0</v>
      </c>
      <c r="J70" s="76">
        <f t="shared" si="116"/>
        <v>0</v>
      </c>
      <c r="K70" s="76">
        <f t="shared" si="116"/>
        <v>0</v>
      </c>
      <c r="L70" s="76">
        <f t="shared" si="116"/>
        <v>0</v>
      </c>
      <c r="M70" s="76">
        <f t="shared" si="116"/>
        <v>0</v>
      </c>
      <c r="N70" s="76">
        <f t="shared" si="103"/>
        <v>0</v>
      </c>
      <c r="O70" s="76">
        <f t="shared" ref="O70:W70" si="117">min(O68:O69)</f>
        <v>0</v>
      </c>
      <c r="P70" s="76">
        <f t="shared" si="117"/>
        <v>0</v>
      </c>
      <c r="Q70" s="76">
        <f t="shared" si="117"/>
        <v>0</v>
      </c>
      <c r="R70" s="76">
        <f t="shared" si="117"/>
        <v>0</v>
      </c>
      <c r="S70" s="76">
        <f t="shared" si="117"/>
        <v>0</v>
      </c>
      <c r="T70" s="76">
        <f t="shared" si="117"/>
        <v>0</v>
      </c>
      <c r="U70" s="76">
        <f t="shared" si="117"/>
        <v>0</v>
      </c>
      <c r="V70" s="76">
        <f t="shared" si="117"/>
        <v>0</v>
      </c>
      <c r="W70" s="76">
        <f t="shared" si="117"/>
        <v>0</v>
      </c>
      <c r="X70" s="76">
        <f t="shared" si="105"/>
        <v>0</v>
      </c>
      <c r="Y70" s="76">
        <f t="shared" si="106"/>
        <v>0</v>
      </c>
    </row>
    <row r="71">
      <c r="A71" s="63"/>
      <c r="B71" s="65"/>
      <c r="C71" s="65"/>
      <c r="D71" s="66" t="s">
        <v>160</v>
      </c>
      <c r="E71" s="65">
        <f>if(E70&lt;E67,1,if(E70&gt;E67,-1,0))</f>
        <v>0</v>
      </c>
      <c r="F71" s="65">
        <f t="shared" ref="F71:M71" si="118">if(F70&lt;F67,1,if(F70&gt;F67,-1,0))+E71</f>
        <v>0</v>
      </c>
      <c r="G71" s="65">
        <f t="shared" si="118"/>
        <v>0</v>
      </c>
      <c r="H71" s="65">
        <f t="shared" si="118"/>
        <v>0</v>
      </c>
      <c r="I71" s="65">
        <f t="shared" si="118"/>
        <v>0</v>
      </c>
      <c r="J71" s="65">
        <f t="shared" si="118"/>
        <v>0</v>
      </c>
      <c r="K71" s="65">
        <f t="shared" si="118"/>
        <v>0</v>
      </c>
      <c r="L71" s="65">
        <f t="shared" si="118"/>
        <v>0</v>
      </c>
      <c r="M71" s="65">
        <f t="shared" si="118"/>
        <v>0</v>
      </c>
      <c r="N71" s="65">
        <f>M71</f>
        <v>0</v>
      </c>
      <c r="O71" s="65">
        <f t="shared" ref="O71:W71" si="119">if(O70&lt;O67,1,if(O70&gt;O67,-1,0))+N71</f>
        <v>0</v>
      </c>
      <c r="P71" s="65">
        <f t="shared" si="119"/>
        <v>0</v>
      </c>
      <c r="Q71" s="65">
        <f t="shared" si="119"/>
        <v>0</v>
      </c>
      <c r="R71" s="65">
        <f t="shared" si="119"/>
        <v>0</v>
      </c>
      <c r="S71" s="65">
        <f t="shared" si="119"/>
        <v>0</v>
      </c>
      <c r="T71" s="65">
        <f t="shared" si="119"/>
        <v>0</v>
      </c>
      <c r="U71" s="65">
        <f t="shared" si="119"/>
        <v>0</v>
      </c>
      <c r="V71" s="65">
        <f t="shared" si="119"/>
        <v>0</v>
      </c>
      <c r="W71" s="65">
        <f t="shared" si="119"/>
        <v>0</v>
      </c>
      <c r="X71" s="65">
        <f>W71-N71</f>
        <v>0</v>
      </c>
      <c r="Y71" s="65">
        <f>W71</f>
        <v>0</v>
      </c>
    </row>
    <row r="72">
      <c r="A72" s="75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</row>
    <row r="73">
      <c r="D73" s="31" t="s">
        <v>161</v>
      </c>
      <c r="E73" s="31">
        <v>8.5</v>
      </c>
    </row>
    <row r="74">
      <c r="D74" s="31" t="s">
        <v>162</v>
      </c>
      <c r="E74" s="31">
        <v>6.5</v>
      </c>
    </row>
    <row r="75">
      <c r="C75" s="78" t="s">
        <v>118</v>
      </c>
    </row>
    <row r="76">
      <c r="C76" s="41" t="s">
        <v>82</v>
      </c>
      <c r="D76" s="31">
        <v>2.0</v>
      </c>
    </row>
    <row r="77">
      <c r="C77" s="41" t="s">
        <v>77</v>
      </c>
      <c r="D77" s="31">
        <v>2.0</v>
      </c>
    </row>
    <row r="78">
      <c r="C78" s="78"/>
    </row>
    <row r="79">
      <c r="C79" s="41" t="s">
        <v>85</v>
      </c>
      <c r="D79" s="31">
        <v>0.0</v>
      </c>
    </row>
    <row r="80">
      <c r="C80" s="41" t="s">
        <v>88</v>
      </c>
      <c r="D80" s="31">
        <v>0.0</v>
      </c>
    </row>
    <row r="81">
      <c r="C81" s="78" t="s">
        <v>124</v>
      </c>
    </row>
    <row r="82">
      <c r="C82" s="41" t="s">
        <v>60</v>
      </c>
      <c r="D82" s="31">
        <v>1.0</v>
      </c>
    </row>
    <row r="83">
      <c r="C83" s="41" t="s">
        <v>92</v>
      </c>
      <c r="D83" s="31">
        <v>1.0</v>
      </c>
    </row>
    <row r="84">
      <c r="C84" s="79"/>
    </row>
    <row r="85">
      <c r="C85" s="41" t="s">
        <v>163</v>
      </c>
      <c r="D85" s="31">
        <v>1.0</v>
      </c>
    </row>
    <row r="86">
      <c r="C86" s="41" t="s">
        <v>93</v>
      </c>
      <c r="D86" s="31">
        <v>1.0</v>
      </c>
    </row>
    <row r="87">
      <c r="C87" s="78" t="s">
        <v>129</v>
      </c>
    </row>
    <row r="88">
      <c r="C88" s="41" t="s">
        <v>164</v>
      </c>
      <c r="D88" s="31">
        <v>0.0</v>
      </c>
    </row>
    <row r="89">
      <c r="C89" s="41" t="s">
        <v>165</v>
      </c>
      <c r="D89" s="31">
        <v>0.0</v>
      </c>
    </row>
    <row r="90">
      <c r="C90" s="79"/>
    </row>
    <row r="91">
      <c r="C91" s="41" t="s">
        <v>83</v>
      </c>
      <c r="D91" s="31">
        <v>2.0</v>
      </c>
    </row>
    <row r="92">
      <c r="C92" s="41" t="s">
        <v>74</v>
      </c>
      <c r="D92" s="31">
        <v>2.0</v>
      </c>
    </row>
    <row r="93">
      <c r="C93" s="78" t="s">
        <v>134</v>
      </c>
    </row>
    <row r="94">
      <c r="C94" s="41" t="s">
        <v>84</v>
      </c>
      <c r="D94" s="31">
        <v>1.0</v>
      </c>
    </row>
    <row r="95">
      <c r="C95" s="41" t="s">
        <v>96</v>
      </c>
      <c r="D95" s="31">
        <v>2.0</v>
      </c>
    </row>
    <row r="96">
      <c r="C96" s="34"/>
    </row>
    <row r="97">
      <c r="C97" s="41" t="s">
        <v>78</v>
      </c>
      <c r="D97" s="31">
        <v>0.0</v>
      </c>
    </row>
    <row r="98">
      <c r="C98" s="41" t="s">
        <v>95</v>
      </c>
      <c r="D98" s="31">
        <v>1.0</v>
      </c>
    </row>
    <row r="99">
      <c r="C99" s="78" t="s">
        <v>140</v>
      </c>
    </row>
    <row r="100">
      <c r="C100" s="41" t="s">
        <v>89</v>
      </c>
      <c r="D100" s="31">
        <v>1.0</v>
      </c>
    </row>
    <row r="101">
      <c r="C101" s="41" t="s">
        <v>94</v>
      </c>
      <c r="D101" s="31">
        <v>1.0</v>
      </c>
    </row>
    <row r="102">
      <c r="C102" s="34"/>
    </row>
    <row r="103">
      <c r="C103" s="41" t="s">
        <v>87</v>
      </c>
      <c r="D103" s="31">
        <v>1.0</v>
      </c>
    </row>
    <row r="104">
      <c r="C104" s="41" t="s">
        <v>97</v>
      </c>
      <c r="D104" s="31">
        <v>1.0</v>
      </c>
    </row>
    <row r="108">
      <c r="D108" s="51" t="s">
        <v>119</v>
      </c>
      <c r="E108" s="51" t="s">
        <v>141</v>
      </c>
      <c r="F108" s="52" t="s">
        <v>127</v>
      </c>
      <c r="G108" s="52" t="s">
        <v>138</v>
      </c>
      <c r="H108" s="80"/>
      <c r="I108" s="81" t="s">
        <v>166</v>
      </c>
      <c r="J108" s="81"/>
      <c r="K108" s="82"/>
    </row>
    <row r="109">
      <c r="D109" s="51" t="s">
        <v>125</v>
      </c>
      <c r="E109" s="51" t="s">
        <v>136</v>
      </c>
      <c r="F109" s="52" t="s">
        <v>122</v>
      </c>
      <c r="G109" s="52" t="s">
        <v>146</v>
      </c>
      <c r="H109" s="80"/>
      <c r="I109" s="81" t="s">
        <v>167</v>
      </c>
      <c r="J109" s="81"/>
      <c r="K109" s="82"/>
    </row>
    <row r="110">
      <c r="D110" s="51" t="s">
        <v>130</v>
      </c>
      <c r="E110" s="51" t="s">
        <v>142</v>
      </c>
      <c r="F110" s="52" t="s">
        <v>121</v>
      </c>
      <c r="G110" s="52" t="s">
        <v>144</v>
      </c>
      <c r="H110" s="80"/>
      <c r="I110" s="81" t="s">
        <v>168</v>
      </c>
      <c r="J110" s="81"/>
      <c r="K110" s="82" t="s">
        <v>169</v>
      </c>
    </row>
    <row r="111">
      <c r="D111" s="51" t="s">
        <v>131</v>
      </c>
      <c r="E111" s="51" t="s">
        <v>135</v>
      </c>
      <c r="F111" s="52" t="s">
        <v>128</v>
      </c>
      <c r="G111" s="52" t="s">
        <v>145</v>
      </c>
      <c r="H111" s="80"/>
      <c r="I111" s="81" t="s">
        <v>170</v>
      </c>
      <c r="J111" s="81"/>
      <c r="K111" s="82" t="s">
        <v>171</v>
      </c>
    </row>
    <row r="112">
      <c r="D112" s="51" t="s">
        <v>120</v>
      </c>
      <c r="E112" s="51" t="s">
        <v>126</v>
      </c>
      <c r="F112" s="52" t="s">
        <v>143</v>
      </c>
      <c r="G112" s="52" t="s">
        <v>132</v>
      </c>
      <c r="H112" s="80"/>
      <c r="I112" s="81" t="s">
        <v>172</v>
      </c>
      <c r="J112" s="81"/>
      <c r="K112" s="82"/>
    </row>
  </sheetData>
  <conditionalFormatting sqref="E35:Y35 E44:Y44 E53:Y53 E62:Y62 E71:Y71">
    <cfRule type="cellIs" dxfId="5" priority="1" operator="lessThan">
      <formula>0</formula>
    </cfRule>
  </conditionalFormatting>
  <conditionalFormatting sqref="E35:Y35 E44:Y44 E53:Y53 E62:Y62 E71:Y71">
    <cfRule type="cellIs" dxfId="6" priority="2" operator="greaterThan">
      <formula>0</formula>
    </cfRule>
  </conditionalFormatting>
  <conditionalFormatting sqref="E5:M24 O5:W24">
    <cfRule type="cellIs" dxfId="7" priority="3" operator="lessThan">
      <formula>E$1-1</formula>
    </cfRule>
  </conditionalFormatting>
  <conditionalFormatting sqref="E5:M24 O5:W24">
    <cfRule type="cellIs" dxfId="8" priority="4" operator="equal">
      <formula>E$1-1</formula>
    </cfRule>
  </conditionalFormatting>
  <conditionalFormatting sqref="E5:M24 O5:W24">
    <cfRule type="cellIs" dxfId="9" priority="5" operator="equal">
      <formula>E$1+1</formula>
    </cfRule>
  </conditionalFormatting>
  <conditionalFormatting sqref="E5:M24 O5:W24">
    <cfRule type="cellIs" dxfId="10" priority="6" operator="greaterThan">
      <formula>E$1+1</formula>
    </cfRule>
  </conditionalFormatting>
  <dataValidations>
    <dataValidation type="list" allowBlank="1" showErrorMessage="1" sqref="C5:C24 C29:C30 C32:C33 C38:C39 C41:C42 C47:C48 C50:C51 C56:C57 C59:C60 C65:C66 C68:C69">
      <formula1>'CGI Finale Teams'!$B$87:$B$106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2" max="17" width="8.63"/>
    <col customWidth="1" min="18" max="20" width="8.13"/>
  </cols>
  <sheetData>
    <row r="1">
      <c r="A1" s="83"/>
      <c r="B1" s="18" t="s">
        <v>173</v>
      </c>
      <c r="R1" s="20"/>
    </row>
    <row r="2">
      <c r="A2" s="8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>
      <c r="A3" s="26" t="s">
        <v>2</v>
      </c>
      <c r="B3" s="84" t="s">
        <v>3</v>
      </c>
      <c r="C3" s="84" t="s">
        <v>4</v>
      </c>
      <c r="D3" s="84" t="s">
        <v>5</v>
      </c>
      <c r="E3" s="84" t="s">
        <v>6</v>
      </c>
      <c r="F3" s="84" t="s">
        <v>7</v>
      </c>
      <c r="G3" s="84" t="s">
        <v>8</v>
      </c>
      <c r="H3" s="84" t="s">
        <v>9</v>
      </c>
      <c r="I3" s="84" t="s">
        <v>10</v>
      </c>
      <c r="J3" s="84" t="s">
        <v>11</v>
      </c>
      <c r="K3" s="84" t="s">
        <v>12</v>
      </c>
      <c r="L3" s="84" t="s">
        <v>13</v>
      </c>
      <c r="M3" s="84" t="s">
        <v>14</v>
      </c>
      <c r="N3" s="84" t="s">
        <v>15</v>
      </c>
      <c r="O3" s="84" t="s">
        <v>16</v>
      </c>
      <c r="P3" s="84" t="s">
        <v>17</v>
      </c>
      <c r="Q3" s="84" t="s">
        <v>18</v>
      </c>
      <c r="R3" s="84" t="s">
        <v>39</v>
      </c>
      <c r="S3" s="78" t="s">
        <v>40</v>
      </c>
      <c r="T3" s="78" t="s">
        <v>41</v>
      </c>
    </row>
    <row r="4">
      <c r="A4" s="26" t="str">
        <f>Actuals!B4</f>
        <v>Adrian C</v>
      </c>
      <c r="B4" s="33">
        <f>If(Actuals!A4=1,0, IF(Actuals!C4="",0,rank(NetScores!B4,NetScores!B$4:B$64,1)))</f>
        <v>0</v>
      </c>
      <c r="C4" s="33">
        <f>If(Actuals!B4=1,0, IF(Actuals!D4="",0,rank(NetScores!C4,NetScores!C$4:C$64,1)))</f>
        <v>0</v>
      </c>
      <c r="D4" s="33">
        <f>If(Actuals!C4=1,0, IF(Actuals!E4="",0,rank(NetScores!D4,NetScores!D$4:D$64,1)))</f>
        <v>0</v>
      </c>
      <c r="E4" s="33">
        <f>If(Actuals!D4=1,0, IF(Actuals!F4="",0,rank(NetScores!E4,NetScores!E$4:E$64,1)))</f>
        <v>0</v>
      </c>
      <c r="F4" s="33">
        <f>If(Actuals!E4=1,0, IF(Actuals!G4="",0,rank(NetScores!F4,NetScores!F$4:F$64,1)))</f>
        <v>0</v>
      </c>
      <c r="G4" s="33">
        <f>If(Actuals!F4=1,0, IF(Actuals!H4="",0,rank(NetScores!G4,NetScores!G$4:G$64,1)))</f>
        <v>0</v>
      </c>
      <c r="H4" s="33">
        <f>If(Actuals!G4=1,0, IF(Actuals!I4="",0,rank(NetScores!H4,NetScores!H$4:H$64,1)))</f>
        <v>0</v>
      </c>
      <c r="I4" s="33">
        <f>If(Actuals!H4=1,0, IF(Actuals!J4="",0,rank(NetScores!I4,NetScores!I$4:I$64,1)))</f>
        <v>0</v>
      </c>
      <c r="J4" s="33">
        <f>If(Actuals!I4=1,0, IF(Actuals!K4="",0,rank(NetScores!J4,NetScores!J$4:J$64,1)))</f>
        <v>0</v>
      </c>
      <c r="K4" s="33">
        <f>If(Actuals!J4=1,0, IF(Actuals!L4="",0,rank(NetScores!K4,NetScores!K$4:K$64,1)))</f>
        <v>0</v>
      </c>
      <c r="L4" s="33">
        <f>If(Actuals!K4=1,0, IF(Actuals!M4="",0,rank(NetScores!L4,NetScores!L$4:L$64,1)))</f>
        <v>0</v>
      </c>
      <c r="M4" s="33">
        <f>If(Actuals!L4=1,0, IF(Actuals!N4="",0,rank(NetScores!M4,NetScores!M$4:M$64,1)))</f>
        <v>0</v>
      </c>
      <c r="N4" s="33">
        <f>If(Actuals!M4=1,0, IF(Actuals!O4="",0,rank(NetScores!N4,NetScores!N$4:N$64,1)))</f>
        <v>0</v>
      </c>
      <c r="O4" s="33">
        <f>If(Actuals!N4=1,0, IF(Actuals!P4="",0,rank(NetScores!O4,NetScores!O$4:O$64,1)))</f>
        <v>0</v>
      </c>
      <c r="P4" s="33">
        <f>If(Actuals!O4=1,0, IF(Actuals!Q4="",0,rank(NetScores!P4,NetScores!P$4:P$64,1)))</f>
        <v>0</v>
      </c>
      <c r="Q4" s="33">
        <f>If(Actuals!P4=1,0, IF(Actuals!R4="",0,rank(NetScores!Q4,NetScores!Q$4:Q$64,1)))</f>
        <v>0</v>
      </c>
      <c r="R4" s="20">
        <f t="shared" ref="R4:R65" si="1">countif(($B4:$Q4),1) </f>
        <v>0</v>
      </c>
      <c r="S4" s="20">
        <f t="shared" ref="S4:S65" si="2">countifs(($B4:$Q4),"&gt; 0", ($B4:$Q4),"&lt;4") </f>
        <v>0</v>
      </c>
      <c r="T4" s="20">
        <f t="shared" ref="T4:T65" si="3">countifs(($B4:$Q4),"&gt; 0", ($B4:$Q4),"&lt;6") </f>
        <v>0</v>
      </c>
    </row>
    <row r="5">
      <c r="A5" s="26" t="str">
        <f>Actuals!B5</f>
        <v>Alan D</v>
      </c>
      <c r="B5" s="33">
        <f>If(Actuals!A5=1,0, IF(Actuals!C5="",0,rank(NetScores!B5,NetScores!B$4:B$64,1)))</f>
        <v>0</v>
      </c>
      <c r="C5" s="33">
        <f>If(Actuals!B5=1,0, IF(Actuals!D5="",0,rank(NetScores!C5,NetScores!C$4:C$64,1)))</f>
        <v>0</v>
      </c>
      <c r="D5" s="33">
        <f>If(Actuals!C5=1,0, IF(Actuals!E5="",0,rank(NetScores!D5,NetScores!D$4:D$64,1)))</f>
        <v>0</v>
      </c>
      <c r="E5" s="33">
        <f>If(Actuals!D5=1,0, IF(Actuals!F5="",0,rank(NetScores!E5,NetScores!E$4:E$64,1)))</f>
        <v>0</v>
      </c>
      <c r="F5" s="33">
        <f>If(Actuals!E5=1,0, IF(Actuals!G5="",0,rank(NetScores!F5,NetScores!F$4:F$64,1)))</f>
        <v>0</v>
      </c>
      <c r="G5" s="33">
        <f>If(Actuals!F5=1,0, IF(Actuals!H5="",0,rank(NetScores!G5,NetScores!G$4:G$64,1)))</f>
        <v>0</v>
      </c>
      <c r="H5" s="33">
        <f>If(Actuals!G5=1,0, IF(Actuals!I5="",0,rank(NetScores!H5,NetScores!H$4:H$64,1)))</f>
        <v>0</v>
      </c>
      <c r="I5" s="33">
        <f>If(Actuals!H5=1,0, IF(Actuals!J5="",0,rank(NetScores!I5,NetScores!I$4:I$64,1)))</f>
        <v>0</v>
      </c>
      <c r="J5" s="33">
        <f>If(Actuals!I5=1,0, IF(Actuals!K5="",0,rank(NetScores!J5,NetScores!J$4:J$64,1)))</f>
        <v>0</v>
      </c>
      <c r="K5" s="33">
        <f>If(Actuals!J5=1,0, IF(Actuals!L5="",0,rank(NetScores!K5,NetScores!K$4:K$64,1)))</f>
        <v>0</v>
      </c>
      <c r="L5" s="33">
        <f>If(Actuals!K5=1,0, IF(Actuals!M5="",0,rank(NetScores!L5,NetScores!L$4:L$64,1)))</f>
        <v>0</v>
      </c>
      <c r="M5" s="33">
        <f>If(Actuals!L5=1,0, IF(Actuals!N5="",0,rank(NetScores!M5,NetScores!M$4:M$64,1)))</f>
        <v>0</v>
      </c>
      <c r="N5" s="33">
        <f>If(Actuals!M5=1,0, IF(Actuals!O5="",0,rank(NetScores!N5,NetScores!N$4:N$64,1)))</f>
        <v>0</v>
      </c>
      <c r="O5" s="33">
        <f>If(Actuals!N5=1,0, IF(Actuals!P5="",0,rank(NetScores!O5,NetScores!O$4:O$64,1)))</f>
        <v>0</v>
      </c>
      <c r="P5" s="33">
        <f>If(Actuals!O5=1,0, IF(Actuals!Q5="",0,rank(NetScores!P5,NetScores!P$4:P$64,1)))</f>
        <v>0</v>
      </c>
      <c r="Q5" s="33">
        <f>If(Actuals!P5=1,0, IF(Actuals!R5="",0,rank(NetScores!Q5,NetScores!Q$4:Q$64,1)))</f>
        <v>0</v>
      </c>
      <c r="R5" s="20">
        <f t="shared" si="1"/>
        <v>0</v>
      </c>
      <c r="S5" s="20">
        <f t="shared" si="2"/>
        <v>0</v>
      </c>
      <c r="T5" s="20">
        <f t="shared" si="3"/>
        <v>0</v>
      </c>
    </row>
    <row r="6">
      <c r="A6" s="26" t="str">
        <f>Actuals!B6</f>
        <v>Baxter C</v>
      </c>
      <c r="B6" s="33">
        <f>If(Actuals!A6=1,0, IF(Actuals!C6="",0,rank(NetScores!B6,NetScores!B$4:B$64,1)))</f>
        <v>0</v>
      </c>
      <c r="C6" s="33">
        <f>If(Actuals!B6=1,0, IF(Actuals!D6="",0,rank(NetScores!C6,NetScores!C$4:C$64,1)))</f>
        <v>0</v>
      </c>
      <c r="D6" s="33">
        <f>If(Actuals!C6=1,0, IF(Actuals!E6="",0,rank(NetScores!D6,NetScores!D$4:D$64,1)))</f>
        <v>0</v>
      </c>
      <c r="E6" s="33">
        <f>If(Actuals!D6=1,0, IF(Actuals!F6="",0,rank(NetScores!E6,NetScores!E$4:E$64,1)))</f>
        <v>0</v>
      </c>
      <c r="F6" s="33">
        <f>If(Actuals!E6=1,0, IF(Actuals!G6="",0,rank(NetScores!F6,NetScores!F$4:F$64,1)))</f>
        <v>0</v>
      </c>
      <c r="G6" s="33">
        <f>If(Actuals!F6=1,0, IF(Actuals!H6="",0,rank(NetScores!G6,NetScores!G$4:G$64,1)))</f>
        <v>0</v>
      </c>
      <c r="H6" s="33">
        <f>If(Actuals!G6=1,0, IF(Actuals!I6="",0,rank(NetScores!H6,NetScores!H$4:H$64,1)))</f>
        <v>0</v>
      </c>
      <c r="I6" s="33">
        <f>If(Actuals!H6=1,0, IF(Actuals!J6="",0,rank(NetScores!I6,NetScores!I$4:I$64,1)))</f>
        <v>0</v>
      </c>
      <c r="J6" s="33">
        <f>If(Actuals!I6=1,0, IF(Actuals!K6="",0,rank(NetScores!J6,NetScores!J$4:J$64,1)))</f>
        <v>0</v>
      </c>
      <c r="K6" s="33">
        <f>If(Actuals!J6=1,0, IF(Actuals!L6="",0,rank(NetScores!K6,NetScores!K$4:K$64,1)))</f>
        <v>0</v>
      </c>
      <c r="L6" s="33">
        <f>If(Actuals!K6=1,0, IF(Actuals!M6="",0,rank(NetScores!L6,NetScores!L$4:L$64,1)))</f>
        <v>0</v>
      </c>
      <c r="M6" s="33">
        <f>If(Actuals!L6=1,0, IF(Actuals!N6="",0,rank(NetScores!M6,NetScores!M$4:M$64,1)))</f>
        <v>0</v>
      </c>
      <c r="N6" s="33">
        <f>If(Actuals!M6=1,0, IF(Actuals!O6="",0,rank(NetScores!N6,NetScores!N$4:N$64,1)))</f>
        <v>0</v>
      </c>
      <c r="O6" s="33">
        <f>If(Actuals!N6=1,0, IF(Actuals!P6="",0,rank(NetScores!O6,NetScores!O$4:O$64,1)))</f>
        <v>0</v>
      </c>
      <c r="P6" s="33">
        <f>If(Actuals!O6=1,0, IF(Actuals!Q6="",0,rank(NetScores!P6,NetScores!P$4:P$64,1)))</f>
        <v>0</v>
      </c>
      <c r="Q6" s="33">
        <f>If(Actuals!P6=1,0, IF(Actuals!R6="",0,rank(NetScores!Q6,NetScores!Q$4:Q$64,1)))</f>
        <v>0</v>
      </c>
      <c r="R6" s="20">
        <f t="shared" si="1"/>
        <v>0</v>
      </c>
      <c r="S6" s="20">
        <f t="shared" si="2"/>
        <v>0</v>
      </c>
      <c r="T6" s="20">
        <f t="shared" si="3"/>
        <v>0</v>
      </c>
    </row>
    <row r="7">
      <c r="A7" s="26" t="str">
        <f>Actuals!B7</f>
        <v>Bill Morton</v>
      </c>
      <c r="B7" s="33">
        <f>If(Actuals!A7=1,0, IF(Actuals!C7="",0,rank(NetScores!B7,NetScores!B$4:B$64,1)))</f>
        <v>0</v>
      </c>
      <c r="C7" s="33">
        <f>If(Actuals!B7=1,0, IF(Actuals!D7="",0,rank(NetScores!C7,NetScores!C$4:C$64,1)))</f>
        <v>0</v>
      </c>
      <c r="D7" s="33">
        <f>If(Actuals!C7=1,0, IF(Actuals!E7="",0,rank(NetScores!D7,NetScores!D$4:D$64,1)))</f>
        <v>0</v>
      </c>
      <c r="E7" s="33">
        <f>If(Actuals!D7=1,0, IF(Actuals!F7="",0,rank(NetScores!E7,NetScores!E$4:E$64,1)))</f>
        <v>0</v>
      </c>
      <c r="F7" s="33">
        <f>If(Actuals!E7=1,0, IF(Actuals!G7="",0,rank(NetScores!F7,NetScores!F$4:F$64,1)))</f>
        <v>0</v>
      </c>
      <c r="G7" s="33">
        <f>If(Actuals!F7=1,0, IF(Actuals!H7="",0,rank(NetScores!G7,NetScores!G$4:G$64,1)))</f>
        <v>0</v>
      </c>
      <c r="H7" s="33">
        <f>If(Actuals!G7=1,0, IF(Actuals!I7="",0,rank(NetScores!H7,NetScores!H$4:H$64,1)))</f>
        <v>0</v>
      </c>
      <c r="I7" s="33">
        <f>If(Actuals!H7=1,0, IF(Actuals!J7="",0,rank(NetScores!I7,NetScores!I$4:I$64,1)))</f>
        <v>0</v>
      </c>
      <c r="J7" s="33">
        <f>If(Actuals!I7=1,0, IF(Actuals!K7="",0,rank(NetScores!J7,NetScores!J$4:J$64,1)))</f>
        <v>0</v>
      </c>
      <c r="K7" s="33">
        <f>If(Actuals!J7=1,0, IF(Actuals!L7="",0,rank(NetScores!K7,NetScores!K$4:K$64,1)))</f>
        <v>0</v>
      </c>
      <c r="L7" s="33">
        <f>If(Actuals!K7=1,0, IF(Actuals!M7="",0,rank(NetScores!L7,NetScores!L$4:L$64,1)))</f>
        <v>0</v>
      </c>
      <c r="M7" s="33">
        <f>If(Actuals!L7=1,0, IF(Actuals!N7="",0,rank(NetScores!M7,NetScores!M$4:M$64,1)))</f>
        <v>0</v>
      </c>
      <c r="N7" s="33">
        <f>If(Actuals!M7=1,0, IF(Actuals!O7="",0,rank(NetScores!N7,NetScores!N$4:N$64,1)))</f>
        <v>0</v>
      </c>
      <c r="O7" s="33">
        <f>If(Actuals!N7=1,0, IF(Actuals!P7="",0,rank(NetScores!O7,NetScores!O$4:O$64,1)))</f>
        <v>0</v>
      </c>
      <c r="P7" s="33">
        <f>If(Actuals!O7=1,0, IF(Actuals!Q7="",0,rank(NetScores!P7,NetScores!P$4:P$64,1)))</f>
        <v>0</v>
      </c>
      <c r="Q7" s="33">
        <f>If(Actuals!P7=1,0, IF(Actuals!R7="",0,rank(NetScores!Q7,NetScores!Q$4:Q$64,1)))</f>
        <v>0</v>
      </c>
      <c r="R7" s="20">
        <f t="shared" si="1"/>
        <v>0</v>
      </c>
      <c r="S7" s="20">
        <f t="shared" si="2"/>
        <v>0</v>
      </c>
      <c r="T7" s="20">
        <f t="shared" si="3"/>
        <v>0</v>
      </c>
    </row>
    <row r="8">
      <c r="A8" s="26" t="str">
        <f>Actuals!B8</f>
        <v>Brian M</v>
      </c>
      <c r="B8" s="33">
        <f>If(Actuals!A8=1,0, IF(Actuals!C8="",0,rank(NetScores!B8,NetScores!B$4:B$64,1)))</f>
        <v>2</v>
      </c>
      <c r="C8" s="33">
        <f>If(Actuals!B8=1,0, IF(Actuals!D8="",0,rank(NetScores!C8,NetScores!C$4:C$64,1)))</f>
        <v>1</v>
      </c>
      <c r="D8" s="33">
        <f>If(Actuals!C8=1,0, IF(Actuals!E8="",0,rank(NetScores!D8,NetScores!D$4:D$64,1)))</f>
        <v>9</v>
      </c>
      <c r="E8" s="33">
        <f>If(Actuals!D8=1,0, IF(Actuals!F8="",0,rank(NetScores!E8,NetScores!E$4:E$64,1)))</f>
        <v>0</v>
      </c>
      <c r="F8" s="33">
        <f>If(Actuals!E8=1,0, IF(Actuals!G8="",0,rank(NetScores!F8,NetScores!F$4:F$64,1)))</f>
        <v>0</v>
      </c>
      <c r="G8" s="33">
        <f>If(Actuals!F8=1,0, IF(Actuals!H8="",0,rank(NetScores!G8,NetScores!G$4:G$64,1)))</f>
        <v>0</v>
      </c>
      <c r="H8" s="33">
        <f>If(Actuals!G8=1,0, IF(Actuals!I8="",0,rank(NetScores!H8,NetScores!H$4:H$64,1)))</f>
        <v>0</v>
      </c>
      <c r="I8" s="33">
        <f>If(Actuals!H8=1,0, IF(Actuals!J8="",0,rank(NetScores!I8,NetScores!I$4:I$64,1)))</f>
        <v>0</v>
      </c>
      <c r="J8" s="33">
        <f>If(Actuals!I8=1,0, IF(Actuals!K8="",0,rank(NetScores!J8,NetScores!J$4:J$64,1)))</f>
        <v>0</v>
      </c>
      <c r="K8" s="33">
        <f>If(Actuals!J8=1,0, IF(Actuals!L8="",0,rank(NetScores!K8,NetScores!K$4:K$64,1)))</f>
        <v>0</v>
      </c>
      <c r="L8" s="33">
        <f>If(Actuals!K8=1,0, IF(Actuals!M8="",0,rank(NetScores!L8,NetScores!L$4:L$64,1)))</f>
        <v>0</v>
      </c>
      <c r="M8" s="33">
        <f>If(Actuals!L8=1,0, IF(Actuals!N8="",0,rank(NetScores!M8,NetScores!M$4:M$64,1)))</f>
        <v>0</v>
      </c>
      <c r="N8" s="33">
        <f>If(Actuals!M8=1,0, IF(Actuals!O8="",0,rank(NetScores!N8,NetScores!N$4:N$64,1)))</f>
        <v>0</v>
      </c>
      <c r="O8" s="33">
        <f>If(Actuals!N8=1,0, IF(Actuals!P8="",0,rank(NetScores!O8,NetScores!O$4:O$64,1)))</f>
        <v>0</v>
      </c>
      <c r="P8" s="33">
        <f>If(Actuals!O8=1,0, IF(Actuals!Q8="",0,rank(NetScores!P8,NetScores!P$4:P$64,1)))</f>
        <v>0</v>
      </c>
      <c r="Q8" s="33">
        <f>If(Actuals!P8=1,0, IF(Actuals!R8="",0,rank(NetScores!Q8,NetScores!Q$4:Q$64,1)))</f>
        <v>0</v>
      </c>
      <c r="R8" s="20">
        <f t="shared" si="1"/>
        <v>1</v>
      </c>
      <c r="S8" s="20">
        <f t="shared" si="2"/>
        <v>2</v>
      </c>
      <c r="T8" s="20">
        <f t="shared" si="3"/>
        <v>2</v>
      </c>
    </row>
    <row r="9">
      <c r="A9" s="26" t="str">
        <f>Actuals!B9</f>
        <v>Bruce Marburger</v>
      </c>
      <c r="B9" s="33">
        <f>If(Actuals!A9=1,0, IF(Actuals!C9="",0,rank(NetScores!B9,NetScores!B$4:B$64,1)))</f>
        <v>11</v>
      </c>
      <c r="C9" s="33">
        <f>If(Actuals!B9=1,0, IF(Actuals!D9="",0,rank(NetScores!C9,NetScores!C$4:C$64,1)))</f>
        <v>0</v>
      </c>
      <c r="D9" s="33">
        <f>If(Actuals!C9=1,0, IF(Actuals!E9="",0,rank(NetScores!D9,NetScores!D$4:D$64,1)))</f>
        <v>0</v>
      </c>
      <c r="E9" s="33">
        <f>If(Actuals!D9=1,0, IF(Actuals!F9="",0,rank(NetScores!E9,NetScores!E$4:E$64,1)))</f>
        <v>0</v>
      </c>
      <c r="F9" s="33">
        <f>If(Actuals!E9=1,0, IF(Actuals!G9="",0,rank(NetScores!F9,NetScores!F$4:F$64,1)))</f>
        <v>0</v>
      </c>
      <c r="G9" s="33">
        <f>If(Actuals!F9=1,0, IF(Actuals!H9="",0,rank(NetScores!G9,NetScores!G$4:G$64,1)))</f>
        <v>0</v>
      </c>
      <c r="H9" s="33">
        <f>If(Actuals!G9=1,0, IF(Actuals!I9="",0,rank(NetScores!H9,NetScores!H$4:H$64,1)))</f>
        <v>0</v>
      </c>
      <c r="I9" s="33">
        <f>If(Actuals!H9=1,0, IF(Actuals!J9="",0,rank(NetScores!I9,NetScores!I$4:I$64,1)))</f>
        <v>0</v>
      </c>
      <c r="J9" s="33">
        <f>If(Actuals!I9=1,0, IF(Actuals!K9="",0,rank(NetScores!J9,NetScores!J$4:J$64,1)))</f>
        <v>0</v>
      </c>
      <c r="K9" s="33">
        <f>If(Actuals!J9=1,0, IF(Actuals!L9="",0,rank(NetScores!K9,NetScores!K$4:K$64,1)))</f>
        <v>0</v>
      </c>
      <c r="L9" s="33">
        <f>If(Actuals!K9=1,0, IF(Actuals!M9="",0,rank(NetScores!L9,NetScores!L$4:L$64,1)))</f>
        <v>0</v>
      </c>
      <c r="M9" s="33">
        <f>If(Actuals!L9=1,0, IF(Actuals!N9="",0,rank(NetScores!M9,NetScores!M$4:M$64,1)))</f>
        <v>0</v>
      </c>
      <c r="N9" s="33">
        <f>If(Actuals!M9=1,0, IF(Actuals!O9="",0,rank(NetScores!N9,NetScores!N$4:N$64,1)))</f>
        <v>0</v>
      </c>
      <c r="O9" s="33">
        <f>If(Actuals!N9=1,0, IF(Actuals!P9="",0,rank(NetScores!O9,NetScores!O$4:O$64,1)))</f>
        <v>0</v>
      </c>
      <c r="P9" s="33">
        <f>If(Actuals!O9=1,0, IF(Actuals!Q9="",0,rank(NetScores!P9,NetScores!P$4:P$64,1)))</f>
        <v>0</v>
      </c>
      <c r="Q9" s="33">
        <f>If(Actuals!P9=1,0, IF(Actuals!R9="",0,rank(NetScores!Q9,NetScores!Q$4:Q$64,1)))</f>
        <v>0</v>
      </c>
      <c r="R9" s="20">
        <f t="shared" si="1"/>
        <v>0</v>
      </c>
      <c r="S9" s="20">
        <f t="shared" si="2"/>
        <v>0</v>
      </c>
      <c r="T9" s="20">
        <f t="shared" si="3"/>
        <v>0</v>
      </c>
    </row>
    <row r="10">
      <c r="A10" s="26" t="str">
        <f>Actuals!B10</f>
        <v>Cole L</v>
      </c>
      <c r="B10" s="33">
        <f>If(Actuals!A10=1,0, IF(Actuals!C10="",0,rank(NetScores!B10,NetScores!B$4:B$64,1)))</f>
        <v>0</v>
      </c>
      <c r="C10" s="33">
        <f>If(Actuals!B10=1,0, IF(Actuals!D10="",0,rank(NetScores!C10,NetScores!C$4:C$64,1)))</f>
        <v>0</v>
      </c>
      <c r="D10" s="33">
        <f>If(Actuals!C10=1,0, IF(Actuals!E10="",0,rank(NetScores!D10,NetScores!D$4:D$64,1)))</f>
        <v>0</v>
      </c>
      <c r="E10" s="33">
        <f>If(Actuals!D10=1,0, IF(Actuals!F10="",0,rank(NetScores!E10,NetScores!E$4:E$64,1)))</f>
        <v>0</v>
      </c>
      <c r="F10" s="33">
        <f>If(Actuals!E10=1,0, IF(Actuals!G10="",0,rank(NetScores!F10,NetScores!F$4:F$64,1)))</f>
        <v>0</v>
      </c>
      <c r="G10" s="33">
        <f>If(Actuals!F10=1,0, IF(Actuals!H10="",0,rank(NetScores!G10,NetScores!G$4:G$64,1)))</f>
        <v>0</v>
      </c>
      <c r="H10" s="33">
        <f>If(Actuals!G10=1,0, IF(Actuals!I10="",0,rank(NetScores!H10,NetScores!H$4:H$64,1)))</f>
        <v>0</v>
      </c>
      <c r="I10" s="33">
        <f>If(Actuals!H10=1,0, IF(Actuals!J10="",0,rank(NetScores!I10,NetScores!I$4:I$64,1)))</f>
        <v>0</v>
      </c>
      <c r="J10" s="33">
        <f>If(Actuals!I10=1,0, IF(Actuals!K10="",0,rank(NetScores!J10,NetScores!J$4:J$64,1)))</f>
        <v>0</v>
      </c>
      <c r="K10" s="33">
        <f>If(Actuals!J10=1,0, IF(Actuals!L10="",0,rank(NetScores!K10,NetScores!K$4:K$64,1)))</f>
        <v>0</v>
      </c>
      <c r="L10" s="33">
        <f>If(Actuals!K10=1,0, IF(Actuals!M10="",0,rank(NetScores!L10,NetScores!L$4:L$64,1)))</f>
        <v>0</v>
      </c>
      <c r="M10" s="33">
        <f>If(Actuals!L10=1,0, IF(Actuals!N10="",0,rank(NetScores!M10,NetScores!M$4:M$64,1)))</f>
        <v>0</v>
      </c>
      <c r="N10" s="33">
        <f>If(Actuals!M10=1,0, IF(Actuals!O10="",0,rank(NetScores!N10,NetScores!N$4:N$64,1)))</f>
        <v>0</v>
      </c>
      <c r="O10" s="33">
        <f>If(Actuals!N10=1,0, IF(Actuals!P10="",0,rank(NetScores!O10,NetScores!O$4:O$64,1)))</f>
        <v>0</v>
      </c>
      <c r="P10" s="33">
        <f>If(Actuals!O10=1,0, IF(Actuals!Q10="",0,rank(NetScores!P10,NetScores!P$4:P$64,1)))</f>
        <v>0</v>
      </c>
      <c r="Q10" s="33">
        <f>If(Actuals!P10=1,0, IF(Actuals!R10="",0,rank(NetScores!Q10,NetScores!Q$4:Q$64,1)))</f>
        <v>0</v>
      </c>
      <c r="R10" s="20">
        <f t="shared" si="1"/>
        <v>0</v>
      </c>
      <c r="S10" s="20">
        <f t="shared" si="2"/>
        <v>0</v>
      </c>
      <c r="T10" s="20">
        <f t="shared" si="3"/>
        <v>0</v>
      </c>
    </row>
    <row r="11">
      <c r="A11" s="26" t="str">
        <f>Actuals!B11</f>
        <v>Danny C</v>
      </c>
      <c r="B11" s="33">
        <f>If(Actuals!A11=1,0, IF(Actuals!C11="",0,rank(NetScores!B11,NetScores!B$4:B$64,1)))</f>
        <v>0</v>
      </c>
      <c r="C11" s="33">
        <f>If(Actuals!B11=1,0, IF(Actuals!D11="",0,rank(NetScores!C11,NetScores!C$4:C$64,1)))</f>
        <v>0</v>
      </c>
      <c r="D11" s="33">
        <f>If(Actuals!C11=1,0, IF(Actuals!E11="",0,rank(NetScores!D11,NetScores!D$4:D$64,1)))</f>
        <v>0</v>
      </c>
      <c r="E11" s="33">
        <f>If(Actuals!D11=1,0, IF(Actuals!F11="",0,rank(NetScores!E11,NetScores!E$4:E$64,1)))</f>
        <v>0</v>
      </c>
      <c r="F11" s="33">
        <f>If(Actuals!E11=1,0, IF(Actuals!G11="",0,rank(NetScores!F11,NetScores!F$4:F$64,1)))</f>
        <v>0</v>
      </c>
      <c r="G11" s="33">
        <f>If(Actuals!F11=1,0, IF(Actuals!H11="",0,rank(NetScores!G11,NetScores!G$4:G$64,1)))</f>
        <v>0</v>
      </c>
      <c r="H11" s="33">
        <f>If(Actuals!G11=1,0, IF(Actuals!I11="",0,rank(NetScores!H11,NetScores!H$4:H$64,1)))</f>
        <v>0</v>
      </c>
      <c r="I11" s="33">
        <f>If(Actuals!H11=1,0, IF(Actuals!J11="",0,rank(NetScores!I11,NetScores!I$4:I$64,1)))</f>
        <v>0</v>
      </c>
      <c r="J11" s="33">
        <f>If(Actuals!I11=1,0, IF(Actuals!K11="",0,rank(NetScores!J11,NetScores!J$4:J$64,1)))</f>
        <v>0</v>
      </c>
      <c r="K11" s="33">
        <f>If(Actuals!J11=1,0, IF(Actuals!L11="",0,rank(NetScores!K11,NetScores!K$4:K$64,1)))</f>
        <v>0</v>
      </c>
      <c r="L11" s="33">
        <f>If(Actuals!K11=1,0, IF(Actuals!M11="",0,rank(NetScores!L11,NetScores!L$4:L$64,1)))</f>
        <v>0</v>
      </c>
      <c r="M11" s="33">
        <f>If(Actuals!L11=1,0, IF(Actuals!N11="",0,rank(NetScores!M11,NetScores!M$4:M$64,1)))</f>
        <v>0</v>
      </c>
      <c r="N11" s="33">
        <f>If(Actuals!M11=1,0, IF(Actuals!O11="",0,rank(NetScores!N11,NetScores!N$4:N$64,1)))</f>
        <v>0</v>
      </c>
      <c r="O11" s="33">
        <f>If(Actuals!N11=1,0, IF(Actuals!P11="",0,rank(NetScores!O11,NetScores!O$4:O$64,1)))</f>
        <v>0</v>
      </c>
      <c r="P11" s="33">
        <f>If(Actuals!O11=1,0, IF(Actuals!Q11="",0,rank(NetScores!P11,NetScores!P$4:P$64,1)))</f>
        <v>0</v>
      </c>
      <c r="Q11" s="33">
        <f>If(Actuals!P11=1,0, IF(Actuals!R11="",0,rank(NetScores!Q11,NetScores!Q$4:Q$64,1)))</f>
        <v>0</v>
      </c>
      <c r="R11" s="20">
        <f t="shared" si="1"/>
        <v>0</v>
      </c>
      <c r="S11" s="20">
        <f t="shared" si="2"/>
        <v>0</v>
      </c>
      <c r="T11" s="20">
        <f t="shared" si="3"/>
        <v>0</v>
      </c>
    </row>
    <row r="12">
      <c r="A12" s="26" t="str">
        <f>Actuals!B12</f>
        <v>Eddie G</v>
      </c>
      <c r="B12" s="33">
        <f>If(Actuals!A12=1,0, IF(Actuals!C12="",0,rank(NetScores!B12,NetScores!B$4:B$64,1)))</f>
        <v>0</v>
      </c>
      <c r="C12" s="33">
        <f>If(Actuals!B12=1,0, IF(Actuals!D12="",0,rank(NetScores!C12,NetScores!C$4:C$64,1)))</f>
        <v>0</v>
      </c>
      <c r="D12" s="33">
        <f>If(Actuals!C12=1,0, IF(Actuals!E12="",0,rank(NetScores!D12,NetScores!D$4:D$64,1)))</f>
        <v>12</v>
      </c>
      <c r="E12" s="33">
        <f>If(Actuals!D12=1,0, IF(Actuals!F12="",0,rank(NetScores!E12,NetScores!E$4:E$64,1)))</f>
        <v>0</v>
      </c>
      <c r="F12" s="33">
        <f>If(Actuals!E12=1,0, IF(Actuals!G12="",0,rank(NetScores!F12,NetScores!F$4:F$64,1)))</f>
        <v>0</v>
      </c>
      <c r="G12" s="33">
        <f>If(Actuals!F12=1,0, IF(Actuals!H12="",0,rank(NetScores!G12,NetScores!G$4:G$64,1)))</f>
        <v>0</v>
      </c>
      <c r="H12" s="33">
        <f>If(Actuals!G12=1,0, IF(Actuals!I12="",0,rank(NetScores!H12,NetScores!H$4:H$64,1)))</f>
        <v>0</v>
      </c>
      <c r="I12" s="33">
        <f>If(Actuals!H12=1,0, IF(Actuals!J12="",0,rank(NetScores!I12,NetScores!I$4:I$64,1)))</f>
        <v>0</v>
      </c>
      <c r="J12" s="33">
        <f>If(Actuals!I12=1,0, IF(Actuals!K12="",0,rank(NetScores!J12,NetScores!J$4:J$64,1)))</f>
        <v>0</v>
      </c>
      <c r="K12" s="33">
        <f>If(Actuals!J12=1,0, IF(Actuals!L12="",0,rank(NetScores!K12,NetScores!K$4:K$64,1)))</f>
        <v>0</v>
      </c>
      <c r="L12" s="33">
        <f>If(Actuals!K12=1,0, IF(Actuals!M12="",0,rank(NetScores!L12,NetScores!L$4:L$64,1)))</f>
        <v>0</v>
      </c>
      <c r="M12" s="33">
        <f>If(Actuals!L12=1,0, IF(Actuals!N12="",0,rank(NetScores!M12,NetScores!M$4:M$64,1)))</f>
        <v>0</v>
      </c>
      <c r="N12" s="33">
        <f>If(Actuals!M12=1,0, IF(Actuals!O12="",0,rank(NetScores!N12,NetScores!N$4:N$64,1)))</f>
        <v>0</v>
      </c>
      <c r="O12" s="33">
        <f>If(Actuals!N12=1,0, IF(Actuals!P12="",0,rank(NetScores!O12,NetScores!O$4:O$64,1)))</f>
        <v>0</v>
      </c>
      <c r="P12" s="33">
        <f>If(Actuals!O12=1,0, IF(Actuals!Q12="",0,rank(NetScores!P12,NetScores!P$4:P$64,1)))</f>
        <v>0</v>
      </c>
      <c r="Q12" s="33">
        <f>If(Actuals!P12=1,0, IF(Actuals!R12="",0,rank(NetScores!Q12,NetScores!Q$4:Q$64,1)))</f>
        <v>0</v>
      </c>
      <c r="R12" s="20">
        <f t="shared" si="1"/>
        <v>0</v>
      </c>
      <c r="S12" s="20">
        <f t="shared" si="2"/>
        <v>0</v>
      </c>
      <c r="T12" s="20">
        <f t="shared" si="3"/>
        <v>0</v>
      </c>
    </row>
    <row r="13">
      <c r="A13" s="26" t="str">
        <f>Actuals!B13</f>
        <v>Grant G</v>
      </c>
      <c r="B13" s="33">
        <f>If(Actuals!A13=1,0, IF(Actuals!C13="",0,rank(NetScores!B13,NetScores!B$4:B$64,1)))</f>
        <v>0</v>
      </c>
      <c r="C13" s="33">
        <f>If(Actuals!B13=1,0, IF(Actuals!D13="",0,rank(NetScores!C13,NetScores!C$4:C$64,1)))</f>
        <v>0</v>
      </c>
      <c r="D13" s="33">
        <f>If(Actuals!C13=1,0, IF(Actuals!E13="",0,rank(NetScores!D13,NetScores!D$4:D$64,1)))</f>
        <v>0</v>
      </c>
      <c r="E13" s="33">
        <f>If(Actuals!D13=1,0, IF(Actuals!F13="",0,rank(NetScores!E13,NetScores!E$4:E$64,1)))</f>
        <v>0</v>
      </c>
      <c r="F13" s="33">
        <f>If(Actuals!E13=1,0, IF(Actuals!G13="",0,rank(NetScores!F13,NetScores!F$4:F$64,1)))</f>
        <v>0</v>
      </c>
      <c r="G13" s="33">
        <f>If(Actuals!F13=1,0, IF(Actuals!H13="",0,rank(NetScores!G13,NetScores!G$4:G$64,1)))</f>
        <v>0</v>
      </c>
      <c r="H13" s="33">
        <f>If(Actuals!G13=1,0, IF(Actuals!I13="",0,rank(NetScores!H13,NetScores!H$4:H$64,1)))</f>
        <v>0</v>
      </c>
      <c r="I13" s="33">
        <f>If(Actuals!H13=1,0, IF(Actuals!J13="",0,rank(NetScores!I13,NetScores!I$4:I$64,1)))</f>
        <v>0</v>
      </c>
      <c r="J13" s="33">
        <f>If(Actuals!I13=1,0, IF(Actuals!K13="",0,rank(NetScores!J13,NetScores!J$4:J$64,1)))</f>
        <v>0</v>
      </c>
      <c r="K13" s="33">
        <f>If(Actuals!J13=1,0, IF(Actuals!L13="",0,rank(NetScores!K13,NetScores!K$4:K$64,1)))</f>
        <v>0</v>
      </c>
      <c r="L13" s="33">
        <f>If(Actuals!K13=1,0, IF(Actuals!M13="",0,rank(NetScores!L13,NetScores!L$4:L$64,1)))</f>
        <v>0</v>
      </c>
      <c r="M13" s="33">
        <f>If(Actuals!L13=1,0, IF(Actuals!N13="",0,rank(NetScores!M13,NetScores!M$4:M$64,1)))</f>
        <v>0</v>
      </c>
      <c r="N13" s="33">
        <f>If(Actuals!M13=1,0, IF(Actuals!O13="",0,rank(NetScores!N13,NetScores!N$4:N$64,1)))</f>
        <v>0</v>
      </c>
      <c r="O13" s="33">
        <f>If(Actuals!N13=1,0, IF(Actuals!P13="",0,rank(NetScores!O13,NetScores!O$4:O$64,1)))</f>
        <v>0</v>
      </c>
      <c r="P13" s="33">
        <f>If(Actuals!O13=1,0, IF(Actuals!Q13="",0,rank(NetScores!P13,NetScores!P$4:P$64,1)))</f>
        <v>0</v>
      </c>
      <c r="Q13" s="33">
        <f>If(Actuals!P13=1,0, IF(Actuals!R13="",0,rank(NetScores!Q13,NetScores!Q$4:Q$64,1)))</f>
        <v>0</v>
      </c>
      <c r="R13" s="20">
        <f t="shared" si="1"/>
        <v>0</v>
      </c>
      <c r="S13" s="20">
        <f t="shared" si="2"/>
        <v>0</v>
      </c>
      <c r="T13" s="20">
        <f t="shared" si="3"/>
        <v>0</v>
      </c>
    </row>
    <row r="14">
      <c r="A14" s="26" t="str">
        <f>Actuals!B14</f>
        <v>Jeff H</v>
      </c>
      <c r="B14" s="33">
        <f>If(Actuals!A14=1,0, IF(Actuals!C14="",0,rank(NetScores!B14,NetScores!B$4:B$64,1)))</f>
        <v>0</v>
      </c>
      <c r="C14" s="33">
        <f>If(Actuals!B14=1,0, IF(Actuals!D14="",0,rank(NetScores!C14,NetScores!C$4:C$64,1)))</f>
        <v>0</v>
      </c>
      <c r="D14" s="33">
        <f>If(Actuals!C14=1,0, IF(Actuals!E14="",0,rank(NetScores!D14,NetScores!D$4:D$64,1)))</f>
        <v>0</v>
      </c>
      <c r="E14" s="33">
        <f>If(Actuals!D14=1,0, IF(Actuals!F14="",0,rank(NetScores!E14,NetScores!E$4:E$64,1)))</f>
        <v>0</v>
      </c>
      <c r="F14" s="33">
        <f>If(Actuals!E14=1,0, IF(Actuals!G14="",0,rank(NetScores!F14,NetScores!F$4:F$64,1)))</f>
        <v>0</v>
      </c>
      <c r="G14" s="33">
        <f>If(Actuals!F14=1,0, IF(Actuals!H14="",0,rank(NetScores!G14,NetScores!G$4:G$64,1)))</f>
        <v>0</v>
      </c>
      <c r="H14" s="33">
        <f>If(Actuals!G14=1,0, IF(Actuals!I14="",0,rank(NetScores!H14,NetScores!H$4:H$64,1)))</f>
        <v>0</v>
      </c>
      <c r="I14" s="33">
        <f>If(Actuals!H14=1,0, IF(Actuals!J14="",0,rank(NetScores!I14,NetScores!I$4:I$64,1)))</f>
        <v>0</v>
      </c>
      <c r="J14" s="33">
        <f>If(Actuals!I14=1,0, IF(Actuals!K14="",0,rank(NetScores!J14,NetScores!J$4:J$64,1)))</f>
        <v>0</v>
      </c>
      <c r="K14" s="33">
        <f>If(Actuals!J14=1,0, IF(Actuals!L14="",0,rank(NetScores!K14,NetScores!K$4:K$64,1)))</f>
        <v>0</v>
      </c>
      <c r="L14" s="33">
        <f>If(Actuals!K14=1,0, IF(Actuals!M14="",0,rank(NetScores!L14,NetScores!L$4:L$64,1)))</f>
        <v>0</v>
      </c>
      <c r="M14" s="33">
        <f>If(Actuals!L14=1,0, IF(Actuals!N14="",0,rank(NetScores!M14,NetScores!M$4:M$64,1)))</f>
        <v>0</v>
      </c>
      <c r="N14" s="33">
        <f>If(Actuals!M14=1,0, IF(Actuals!O14="",0,rank(NetScores!N14,NetScores!N$4:N$64,1)))</f>
        <v>0</v>
      </c>
      <c r="O14" s="33">
        <f>If(Actuals!N14=1,0, IF(Actuals!P14="",0,rank(NetScores!O14,NetScores!O$4:O$64,1)))</f>
        <v>0</v>
      </c>
      <c r="P14" s="33">
        <f>If(Actuals!O14=1,0, IF(Actuals!Q14="",0,rank(NetScores!P14,NetScores!P$4:P$64,1)))</f>
        <v>0</v>
      </c>
      <c r="Q14" s="33">
        <f>If(Actuals!P14=1,0, IF(Actuals!R14="",0,rank(NetScores!Q14,NetScores!Q$4:Q$64,1)))</f>
        <v>0</v>
      </c>
      <c r="R14" s="20">
        <f t="shared" si="1"/>
        <v>0</v>
      </c>
      <c r="S14" s="20">
        <f t="shared" si="2"/>
        <v>0</v>
      </c>
      <c r="T14" s="20">
        <f t="shared" si="3"/>
        <v>0</v>
      </c>
    </row>
    <row r="15">
      <c r="A15" s="26" t="str">
        <f>Actuals!B15</f>
        <v>Jenna T</v>
      </c>
      <c r="B15" s="33">
        <f>If(Actuals!A15=1,0, IF(Actuals!C15="",0,rank(NetScores!B15,NetScores!B$4:B$64,1)))</f>
        <v>0</v>
      </c>
      <c r="C15" s="33">
        <f>If(Actuals!B15=1,0, IF(Actuals!D15="",0,rank(NetScores!C15,NetScores!C$4:C$64,1)))</f>
        <v>0</v>
      </c>
      <c r="D15" s="33">
        <f>If(Actuals!C15=1,0, IF(Actuals!E15="",0,rank(NetScores!D15,NetScores!D$4:D$64,1)))</f>
        <v>0</v>
      </c>
      <c r="E15" s="33">
        <f>If(Actuals!D15=1,0, IF(Actuals!F15="",0,rank(NetScores!E15,NetScores!E$4:E$64,1)))</f>
        <v>0</v>
      </c>
      <c r="F15" s="33">
        <f>If(Actuals!E15=1,0, IF(Actuals!G15="",0,rank(NetScores!F15,NetScores!F$4:F$64,1)))</f>
        <v>0</v>
      </c>
      <c r="G15" s="33">
        <f>If(Actuals!F15=1,0, IF(Actuals!H15="",0,rank(NetScores!G15,NetScores!G$4:G$64,1)))</f>
        <v>0</v>
      </c>
      <c r="H15" s="33">
        <f>If(Actuals!G15=1,0, IF(Actuals!I15="",0,rank(NetScores!H15,NetScores!H$4:H$64,1)))</f>
        <v>0</v>
      </c>
      <c r="I15" s="33">
        <f>If(Actuals!H15=1,0, IF(Actuals!J15="",0,rank(NetScores!I15,NetScores!I$4:I$64,1)))</f>
        <v>0</v>
      </c>
      <c r="J15" s="33">
        <f>If(Actuals!I15=1,0, IF(Actuals!K15="",0,rank(NetScores!J15,NetScores!J$4:J$64,1)))</f>
        <v>0</v>
      </c>
      <c r="K15" s="33">
        <f>If(Actuals!J15=1,0, IF(Actuals!L15="",0,rank(NetScores!K15,NetScores!K$4:K$64,1)))</f>
        <v>0</v>
      </c>
      <c r="L15" s="33">
        <f>If(Actuals!K15=1,0, IF(Actuals!M15="",0,rank(NetScores!L15,NetScores!L$4:L$64,1)))</f>
        <v>0</v>
      </c>
      <c r="M15" s="33">
        <f>If(Actuals!L15=1,0, IF(Actuals!N15="",0,rank(NetScores!M15,NetScores!M$4:M$64,1)))</f>
        <v>0</v>
      </c>
      <c r="N15" s="33">
        <f>If(Actuals!M15=1,0, IF(Actuals!O15="",0,rank(NetScores!N15,NetScores!N$4:N$64,1)))</f>
        <v>0</v>
      </c>
      <c r="O15" s="33">
        <f>If(Actuals!N15=1,0, IF(Actuals!P15="",0,rank(NetScores!O15,NetScores!O$4:O$64,1)))</f>
        <v>0</v>
      </c>
      <c r="P15" s="33">
        <f>If(Actuals!O15=1,0, IF(Actuals!Q15="",0,rank(NetScores!P15,NetScores!P$4:P$64,1)))</f>
        <v>0</v>
      </c>
      <c r="Q15" s="33">
        <f>If(Actuals!P15=1,0, IF(Actuals!R15="",0,rank(NetScores!Q15,NetScores!Q$4:Q$64,1)))</f>
        <v>0</v>
      </c>
      <c r="R15" s="20">
        <f t="shared" si="1"/>
        <v>0</v>
      </c>
      <c r="S15" s="20">
        <f t="shared" si="2"/>
        <v>0</v>
      </c>
      <c r="T15" s="20">
        <f t="shared" si="3"/>
        <v>0</v>
      </c>
    </row>
    <row r="16">
      <c r="A16" s="26" t="str">
        <f>Actuals!B16</f>
        <v>Jeremy H</v>
      </c>
      <c r="B16" s="33">
        <f>If(Actuals!A16=1,0, IF(Actuals!C16="",0,rank(NetScores!B16,NetScores!B$4:B$64,1)))</f>
        <v>0</v>
      </c>
      <c r="C16" s="33">
        <f>If(Actuals!B16=1,0, IF(Actuals!D16="",0,rank(NetScores!C16,NetScores!C$4:C$64,1)))</f>
        <v>0</v>
      </c>
      <c r="D16" s="33">
        <f>If(Actuals!C16=1,0, IF(Actuals!E16="",0,rank(NetScores!D16,NetScores!D$4:D$64,1)))</f>
        <v>0</v>
      </c>
      <c r="E16" s="33">
        <f>If(Actuals!D16=1,0, IF(Actuals!F16="",0,rank(NetScores!E16,NetScores!E$4:E$64,1)))</f>
        <v>0</v>
      </c>
      <c r="F16" s="33">
        <f>If(Actuals!E16=1,0, IF(Actuals!G16="",0,rank(NetScores!F16,NetScores!F$4:F$64,1)))</f>
        <v>0</v>
      </c>
      <c r="G16" s="33">
        <f>If(Actuals!F16=1,0, IF(Actuals!H16="",0,rank(NetScores!G16,NetScores!G$4:G$64,1)))</f>
        <v>0</v>
      </c>
      <c r="H16" s="33">
        <f>If(Actuals!G16=1,0, IF(Actuals!I16="",0,rank(NetScores!H16,NetScores!H$4:H$64,1)))</f>
        <v>0</v>
      </c>
      <c r="I16" s="33">
        <f>If(Actuals!H16=1,0, IF(Actuals!J16="",0,rank(NetScores!I16,NetScores!I$4:I$64,1)))</f>
        <v>0</v>
      </c>
      <c r="J16" s="33">
        <f>If(Actuals!I16=1,0, IF(Actuals!K16="",0,rank(NetScores!J16,NetScores!J$4:J$64,1)))</f>
        <v>0</v>
      </c>
      <c r="K16" s="33">
        <f>If(Actuals!J16=1,0, IF(Actuals!L16="",0,rank(NetScores!K16,NetScores!K$4:K$64,1)))</f>
        <v>0</v>
      </c>
      <c r="L16" s="33">
        <f>If(Actuals!K16=1,0, IF(Actuals!M16="",0,rank(NetScores!L16,NetScores!L$4:L$64,1)))</f>
        <v>0</v>
      </c>
      <c r="M16" s="33">
        <f>If(Actuals!L16=1,0, IF(Actuals!N16="",0,rank(NetScores!M16,NetScores!M$4:M$64,1)))</f>
        <v>0</v>
      </c>
      <c r="N16" s="33">
        <f>If(Actuals!M16=1,0, IF(Actuals!O16="",0,rank(NetScores!N16,NetScores!N$4:N$64,1)))</f>
        <v>0</v>
      </c>
      <c r="O16" s="33">
        <f>If(Actuals!N16=1,0, IF(Actuals!P16="",0,rank(NetScores!O16,NetScores!O$4:O$64,1)))</f>
        <v>0</v>
      </c>
      <c r="P16" s="33">
        <f>If(Actuals!O16=1,0, IF(Actuals!Q16="",0,rank(NetScores!P16,NetScores!P$4:P$64,1)))</f>
        <v>0</v>
      </c>
      <c r="Q16" s="33">
        <f>If(Actuals!P16=1,0, IF(Actuals!R16="",0,rank(NetScores!Q16,NetScores!Q$4:Q$64,1)))</f>
        <v>0</v>
      </c>
      <c r="R16" s="20">
        <f t="shared" si="1"/>
        <v>0</v>
      </c>
      <c r="S16" s="20">
        <f t="shared" si="2"/>
        <v>0</v>
      </c>
      <c r="T16" s="20">
        <f t="shared" si="3"/>
        <v>0</v>
      </c>
    </row>
    <row r="17">
      <c r="A17" s="26" t="str">
        <f>Actuals!B17</f>
        <v>Jeremy S</v>
      </c>
      <c r="B17" s="33">
        <f>If(Actuals!A17=1,0, IF(Actuals!C17="",0,rank(NetScores!B17,NetScores!B$4:B$64,1)))</f>
        <v>0</v>
      </c>
      <c r="C17" s="33">
        <f>If(Actuals!B17=1,0, IF(Actuals!D17="",0,rank(NetScores!C17,NetScores!C$4:C$64,1)))</f>
        <v>0</v>
      </c>
      <c r="D17" s="33">
        <f>If(Actuals!C17=1,0, IF(Actuals!E17="",0,rank(NetScores!D17,NetScores!D$4:D$64,1)))</f>
        <v>0</v>
      </c>
      <c r="E17" s="33">
        <f>If(Actuals!D17=1,0, IF(Actuals!F17="",0,rank(NetScores!E17,NetScores!E$4:E$64,1)))</f>
        <v>0</v>
      </c>
      <c r="F17" s="33">
        <f>If(Actuals!E17=1,0, IF(Actuals!G17="",0,rank(NetScores!F17,NetScores!F$4:F$64,1)))</f>
        <v>0</v>
      </c>
      <c r="G17" s="33">
        <f>If(Actuals!F17=1,0, IF(Actuals!H17="",0,rank(NetScores!G17,NetScores!G$4:G$64,1)))</f>
        <v>0</v>
      </c>
      <c r="H17" s="33">
        <f>If(Actuals!G17=1,0, IF(Actuals!I17="",0,rank(NetScores!H17,NetScores!H$4:H$64,1)))</f>
        <v>0</v>
      </c>
      <c r="I17" s="33">
        <f>If(Actuals!H17=1,0, IF(Actuals!J17="",0,rank(NetScores!I17,NetScores!I$4:I$64,1)))</f>
        <v>0</v>
      </c>
      <c r="J17" s="33">
        <f>If(Actuals!I17=1,0, IF(Actuals!K17="",0,rank(NetScores!J17,NetScores!J$4:J$64,1)))</f>
        <v>0</v>
      </c>
      <c r="K17" s="33">
        <f>If(Actuals!J17=1,0, IF(Actuals!L17="",0,rank(NetScores!K17,NetScores!K$4:K$64,1)))</f>
        <v>0</v>
      </c>
      <c r="L17" s="33">
        <f>If(Actuals!K17=1,0, IF(Actuals!M17="",0,rank(NetScores!L17,NetScores!L$4:L$64,1)))</f>
        <v>0</v>
      </c>
      <c r="M17" s="33">
        <f>If(Actuals!L17=1,0, IF(Actuals!N17="",0,rank(NetScores!M17,NetScores!M$4:M$64,1)))</f>
        <v>0</v>
      </c>
      <c r="N17" s="33">
        <f>If(Actuals!M17=1,0, IF(Actuals!O17="",0,rank(NetScores!N17,NetScores!N$4:N$64,1)))</f>
        <v>0</v>
      </c>
      <c r="O17" s="33">
        <f>If(Actuals!N17=1,0, IF(Actuals!P17="",0,rank(NetScores!O17,NetScores!O$4:O$64,1)))</f>
        <v>0</v>
      </c>
      <c r="P17" s="33">
        <f>If(Actuals!O17=1,0, IF(Actuals!Q17="",0,rank(NetScores!P17,NetScores!P$4:P$64,1)))</f>
        <v>0</v>
      </c>
      <c r="Q17" s="33">
        <f>If(Actuals!P17=1,0, IF(Actuals!R17="",0,rank(NetScores!Q17,NetScores!Q$4:Q$64,1)))</f>
        <v>0</v>
      </c>
      <c r="R17" s="20">
        <f t="shared" si="1"/>
        <v>0</v>
      </c>
      <c r="S17" s="20">
        <f t="shared" si="2"/>
        <v>0</v>
      </c>
      <c r="T17" s="20">
        <f t="shared" si="3"/>
        <v>0</v>
      </c>
    </row>
    <row r="18">
      <c r="A18" s="26" t="str">
        <f>Actuals!B18</f>
        <v>Jon L</v>
      </c>
      <c r="B18" s="33">
        <f>If(Actuals!A18=1,0, IF(Actuals!C18="",0,rank(NetScores!B18,NetScores!B$4:B$64,1)))</f>
        <v>13</v>
      </c>
      <c r="C18" s="33">
        <f>If(Actuals!B18=1,0, IF(Actuals!D18="",0,rank(NetScores!C18,NetScores!C$4:C$64,1)))</f>
        <v>3</v>
      </c>
      <c r="D18" s="33">
        <f>If(Actuals!C18=1,0, IF(Actuals!E18="",0,rank(NetScores!D18,NetScores!D$4:D$64,1)))</f>
        <v>9</v>
      </c>
      <c r="E18" s="33">
        <f>If(Actuals!D18=1,0, IF(Actuals!F18="",0,rank(NetScores!E18,NetScores!E$4:E$64,1)))</f>
        <v>0</v>
      </c>
      <c r="F18" s="33">
        <f>If(Actuals!E18=1,0, IF(Actuals!G18="",0,rank(NetScores!F18,NetScores!F$4:F$64,1)))</f>
        <v>0</v>
      </c>
      <c r="G18" s="33">
        <f>If(Actuals!F18=1,0, IF(Actuals!H18="",0,rank(NetScores!G18,NetScores!G$4:G$64,1)))</f>
        <v>0</v>
      </c>
      <c r="H18" s="33">
        <f>If(Actuals!G18=1,0, IF(Actuals!I18="",0,rank(NetScores!H18,NetScores!H$4:H$64,1)))</f>
        <v>0</v>
      </c>
      <c r="I18" s="33">
        <f>If(Actuals!H18=1,0, IF(Actuals!J18="",0,rank(NetScores!I18,NetScores!I$4:I$64,1)))</f>
        <v>0</v>
      </c>
      <c r="J18" s="33">
        <f>If(Actuals!I18=1,0, IF(Actuals!K18="",0,rank(NetScores!J18,NetScores!J$4:J$64,1)))</f>
        <v>0</v>
      </c>
      <c r="K18" s="33">
        <f>If(Actuals!J18=1,0, IF(Actuals!L18="",0,rank(NetScores!K18,NetScores!K$4:K$64,1)))</f>
        <v>0</v>
      </c>
      <c r="L18" s="33">
        <f>If(Actuals!K18=1,0, IF(Actuals!M18="",0,rank(NetScores!L18,NetScores!L$4:L$64,1)))</f>
        <v>0</v>
      </c>
      <c r="M18" s="33">
        <f>If(Actuals!L18=1,0, IF(Actuals!N18="",0,rank(NetScores!M18,NetScores!M$4:M$64,1)))</f>
        <v>0</v>
      </c>
      <c r="N18" s="33">
        <f>If(Actuals!M18=1,0, IF(Actuals!O18="",0,rank(NetScores!N18,NetScores!N$4:N$64,1)))</f>
        <v>0</v>
      </c>
      <c r="O18" s="33">
        <f>If(Actuals!N18=1,0, IF(Actuals!P18="",0,rank(NetScores!O18,NetScores!O$4:O$64,1)))</f>
        <v>0</v>
      </c>
      <c r="P18" s="33">
        <f>If(Actuals!O18=1,0, IF(Actuals!Q18="",0,rank(NetScores!P18,NetScores!P$4:P$64,1)))</f>
        <v>0</v>
      </c>
      <c r="Q18" s="33">
        <f>If(Actuals!P18=1,0, IF(Actuals!R18="",0,rank(NetScores!Q18,NetScores!Q$4:Q$64,1)))</f>
        <v>0</v>
      </c>
      <c r="R18" s="20">
        <f t="shared" si="1"/>
        <v>0</v>
      </c>
      <c r="S18" s="20">
        <f t="shared" si="2"/>
        <v>1</v>
      </c>
      <c r="T18" s="20">
        <f t="shared" si="3"/>
        <v>1</v>
      </c>
    </row>
    <row r="19">
      <c r="A19" s="26" t="str">
        <f>Actuals!B19</f>
        <v>Jonah R</v>
      </c>
      <c r="B19" s="33">
        <f>If(Actuals!A19=1,0, IF(Actuals!C19="",0,rank(NetScores!B19,NetScores!B$4:B$64,1)))</f>
        <v>0</v>
      </c>
      <c r="C19" s="33">
        <f>If(Actuals!B19=1,0, IF(Actuals!D19="",0,rank(NetScores!C19,NetScores!C$4:C$64,1)))</f>
        <v>5</v>
      </c>
      <c r="D19" s="33">
        <f>If(Actuals!C19=1,0, IF(Actuals!E19="",0,rank(NetScores!D19,NetScores!D$4:D$64,1)))</f>
        <v>0</v>
      </c>
      <c r="E19" s="33">
        <f>If(Actuals!D19=1,0, IF(Actuals!F19="",0,rank(NetScores!E19,NetScores!E$4:E$64,1)))</f>
        <v>0</v>
      </c>
      <c r="F19" s="33">
        <f>If(Actuals!E19=1,0, IF(Actuals!G19="",0,rank(NetScores!F19,NetScores!F$4:F$64,1)))</f>
        <v>0</v>
      </c>
      <c r="G19" s="33">
        <f>If(Actuals!F19=1,0, IF(Actuals!H19="",0,rank(NetScores!G19,NetScores!G$4:G$64,1)))</f>
        <v>0</v>
      </c>
      <c r="H19" s="33">
        <f>If(Actuals!G19=1,0, IF(Actuals!I19="",0,rank(NetScores!H19,NetScores!H$4:H$64,1)))</f>
        <v>0</v>
      </c>
      <c r="I19" s="33">
        <f>If(Actuals!H19=1,0, IF(Actuals!J19="",0,rank(NetScores!I19,NetScores!I$4:I$64,1)))</f>
        <v>0</v>
      </c>
      <c r="J19" s="33">
        <f>If(Actuals!I19=1,0, IF(Actuals!K19="",0,rank(NetScores!J19,NetScores!J$4:J$64,1)))</f>
        <v>0</v>
      </c>
      <c r="K19" s="33">
        <f>If(Actuals!J19=1,0, IF(Actuals!L19="",0,rank(NetScores!K19,NetScores!K$4:K$64,1)))</f>
        <v>0</v>
      </c>
      <c r="L19" s="33">
        <f>If(Actuals!K19=1,0, IF(Actuals!M19="",0,rank(NetScores!L19,NetScores!L$4:L$64,1)))</f>
        <v>0</v>
      </c>
      <c r="M19" s="33">
        <f>If(Actuals!L19=1,0, IF(Actuals!N19="",0,rank(NetScores!M19,NetScores!M$4:M$64,1)))</f>
        <v>0</v>
      </c>
      <c r="N19" s="33">
        <f>If(Actuals!M19=1,0, IF(Actuals!O19="",0,rank(NetScores!N19,NetScores!N$4:N$64,1)))</f>
        <v>0</v>
      </c>
      <c r="O19" s="33">
        <f>If(Actuals!N19=1,0, IF(Actuals!P19="",0,rank(NetScores!O19,NetScores!O$4:O$64,1)))</f>
        <v>0</v>
      </c>
      <c r="P19" s="33">
        <f>If(Actuals!O19=1,0, IF(Actuals!Q19="",0,rank(NetScores!P19,NetScores!P$4:P$64,1)))</f>
        <v>0</v>
      </c>
      <c r="Q19" s="33">
        <f>If(Actuals!P19=1,0, IF(Actuals!R19="",0,rank(NetScores!Q19,NetScores!Q$4:Q$64,1)))</f>
        <v>0</v>
      </c>
      <c r="R19" s="20">
        <f t="shared" si="1"/>
        <v>0</v>
      </c>
      <c r="S19" s="20">
        <f t="shared" si="2"/>
        <v>0</v>
      </c>
      <c r="T19" s="20">
        <f t="shared" si="3"/>
        <v>1</v>
      </c>
    </row>
    <row r="20">
      <c r="A20" s="26" t="str">
        <f>Actuals!B20</f>
        <v>Jordan V</v>
      </c>
      <c r="B20" s="33">
        <f>If(Actuals!A20=1,0, IF(Actuals!C20="",0,rank(NetScores!B20,NetScores!B$4:B$64,1)))</f>
        <v>0</v>
      </c>
      <c r="C20" s="33">
        <f>If(Actuals!B20=1,0, IF(Actuals!D20="",0,rank(NetScores!C20,NetScores!C$4:C$64,1)))</f>
        <v>0</v>
      </c>
      <c r="D20" s="33">
        <f>If(Actuals!C20=1,0, IF(Actuals!E20="",0,rank(NetScores!D20,NetScores!D$4:D$64,1)))</f>
        <v>0</v>
      </c>
      <c r="E20" s="33">
        <f>If(Actuals!D20=1,0, IF(Actuals!F20="",0,rank(NetScores!E20,NetScores!E$4:E$64,1)))</f>
        <v>0</v>
      </c>
      <c r="F20" s="33">
        <f>If(Actuals!E20=1,0, IF(Actuals!G20="",0,rank(NetScores!F20,NetScores!F$4:F$64,1)))</f>
        <v>0</v>
      </c>
      <c r="G20" s="33">
        <f>If(Actuals!F20=1,0, IF(Actuals!H20="",0,rank(NetScores!G20,NetScores!G$4:G$64,1)))</f>
        <v>0</v>
      </c>
      <c r="H20" s="33">
        <f>If(Actuals!G20=1,0, IF(Actuals!I20="",0,rank(NetScores!H20,NetScores!H$4:H$64,1)))</f>
        <v>0</v>
      </c>
      <c r="I20" s="33">
        <f>If(Actuals!H20=1,0, IF(Actuals!J20="",0,rank(NetScores!I20,NetScores!I$4:I$64,1)))</f>
        <v>0</v>
      </c>
      <c r="J20" s="33">
        <f>If(Actuals!I20=1,0, IF(Actuals!K20="",0,rank(NetScores!J20,NetScores!J$4:J$64,1)))</f>
        <v>0</v>
      </c>
      <c r="K20" s="33">
        <f>If(Actuals!J20=1,0, IF(Actuals!L20="",0,rank(NetScores!K20,NetScores!K$4:K$64,1)))</f>
        <v>0</v>
      </c>
      <c r="L20" s="33">
        <f>If(Actuals!K20=1,0, IF(Actuals!M20="",0,rank(NetScores!L20,NetScores!L$4:L$64,1)))</f>
        <v>0</v>
      </c>
      <c r="M20" s="33">
        <f>If(Actuals!L20=1,0, IF(Actuals!N20="",0,rank(NetScores!M20,NetScores!M$4:M$64,1)))</f>
        <v>0</v>
      </c>
      <c r="N20" s="33">
        <f>If(Actuals!M20=1,0, IF(Actuals!O20="",0,rank(NetScores!N20,NetScores!N$4:N$64,1)))</f>
        <v>0</v>
      </c>
      <c r="O20" s="33">
        <f>If(Actuals!N20=1,0, IF(Actuals!P20="",0,rank(NetScores!O20,NetScores!O$4:O$64,1)))</f>
        <v>0</v>
      </c>
      <c r="P20" s="33">
        <f>If(Actuals!O20=1,0, IF(Actuals!Q20="",0,rank(NetScores!P20,NetScores!P$4:P$64,1)))</f>
        <v>0</v>
      </c>
      <c r="Q20" s="33">
        <f>If(Actuals!P20=1,0, IF(Actuals!R20="",0,rank(NetScores!Q20,NetScores!Q$4:Q$64,1)))</f>
        <v>0</v>
      </c>
      <c r="R20" s="20">
        <f t="shared" si="1"/>
        <v>0</v>
      </c>
      <c r="S20" s="20">
        <f t="shared" si="2"/>
        <v>0</v>
      </c>
      <c r="T20" s="20">
        <f t="shared" si="3"/>
        <v>0</v>
      </c>
    </row>
    <row r="21">
      <c r="A21" s="26" t="str">
        <f>Actuals!B21</f>
        <v>Kyle N</v>
      </c>
      <c r="B21" s="33">
        <f>If(Actuals!A21=1,0, IF(Actuals!C21="",0,rank(NetScores!B21,NetScores!B$4:B$64,1)))</f>
        <v>0</v>
      </c>
      <c r="C21" s="33">
        <f>If(Actuals!B21=1,0, IF(Actuals!D21="",0,rank(NetScores!C21,NetScores!C$4:C$64,1)))</f>
        <v>11</v>
      </c>
      <c r="D21" s="33">
        <f>If(Actuals!C21=1,0, IF(Actuals!E21="",0,rank(NetScores!D21,NetScores!D$4:D$64,1)))</f>
        <v>1</v>
      </c>
      <c r="E21" s="33">
        <f>If(Actuals!D21=1,0, IF(Actuals!F21="",0,rank(NetScores!E21,NetScores!E$4:E$64,1)))</f>
        <v>0</v>
      </c>
      <c r="F21" s="33">
        <f>If(Actuals!E21=1,0, IF(Actuals!G21="",0,rank(NetScores!F21,NetScores!F$4:F$64,1)))</f>
        <v>0</v>
      </c>
      <c r="G21" s="33">
        <f>If(Actuals!F21=1,0, IF(Actuals!H21="",0,rank(NetScores!G21,NetScores!G$4:G$64,1)))</f>
        <v>0</v>
      </c>
      <c r="H21" s="33">
        <f>If(Actuals!G21=1,0, IF(Actuals!I21="",0,rank(NetScores!H21,NetScores!H$4:H$64,1)))</f>
        <v>0</v>
      </c>
      <c r="I21" s="33">
        <f>If(Actuals!H21=1,0, IF(Actuals!J21="",0,rank(NetScores!I21,NetScores!I$4:I$64,1)))</f>
        <v>0</v>
      </c>
      <c r="J21" s="33">
        <f>If(Actuals!I21=1,0, IF(Actuals!K21="",0,rank(NetScores!J21,NetScores!J$4:J$64,1)))</f>
        <v>0</v>
      </c>
      <c r="K21" s="33">
        <f>If(Actuals!J21=1,0, IF(Actuals!L21="",0,rank(NetScores!K21,NetScores!K$4:K$64,1)))</f>
        <v>0</v>
      </c>
      <c r="L21" s="33">
        <f>If(Actuals!K21=1,0, IF(Actuals!M21="",0,rank(NetScores!L21,NetScores!L$4:L$64,1)))</f>
        <v>0</v>
      </c>
      <c r="M21" s="33">
        <f>If(Actuals!L21=1,0, IF(Actuals!N21="",0,rank(NetScores!M21,NetScores!M$4:M$64,1)))</f>
        <v>0</v>
      </c>
      <c r="N21" s="33">
        <f>If(Actuals!M21=1,0, IF(Actuals!O21="",0,rank(NetScores!N21,NetScores!N$4:N$64,1)))</f>
        <v>0</v>
      </c>
      <c r="O21" s="33">
        <f>If(Actuals!N21=1,0, IF(Actuals!P21="",0,rank(NetScores!O21,NetScores!O$4:O$64,1)))</f>
        <v>0</v>
      </c>
      <c r="P21" s="33">
        <f>If(Actuals!O21=1,0, IF(Actuals!Q21="",0,rank(NetScores!P21,NetScores!P$4:P$64,1)))</f>
        <v>0</v>
      </c>
      <c r="Q21" s="33">
        <f>If(Actuals!P21=1,0, IF(Actuals!R21="",0,rank(NetScores!Q21,NetScores!Q$4:Q$64,1)))</f>
        <v>0</v>
      </c>
      <c r="R21" s="20">
        <f t="shared" si="1"/>
        <v>1</v>
      </c>
      <c r="S21" s="20">
        <f t="shared" si="2"/>
        <v>1</v>
      </c>
      <c r="T21" s="20">
        <f t="shared" si="3"/>
        <v>1</v>
      </c>
    </row>
    <row r="22">
      <c r="A22" s="26" t="str">
        <f>Actuals!B22</f>
        <v>Laura L</v>
      </c>
      <c r="B22" s="33">
        <f>If(Actuals!A22=1,0, IF(Actuals!C22="",0,rank(NetScores!B22,NetScores!B$4:B$64,1)))</f>
        <v>0</v>
      </c>
      <c r="C22" s="33">
        <f>If(Actuals!B22=1,0, IF(Actuals!D22="",0,rank(NetScores!C22,NetScores!C$4:C$64,1)))</f>
        <v>0</v>
      </c>
      <c r="D22" s="33">
        <f>If(Actuals!C22=1,0, IF(Actuals!E22="",0,rank(NetScores!D22,NetScores!D$4:D$64,1)))</f>
        <v>0</v>
      </c>
      <c r="E22" s="33">
        <f>If(Actuals!D22=1,0, IF(Actuals!F22="",0,rank(NetScores!E22,NetScores!E$4:E$64,1)))</f>
        <v>0</v>
      </c>
      <c r="F22" s="33">
        <f>If(Actuals!E22=1,0, IF(Actuals!G22="",0,rank(NetScores!F22,NetScores!F$4:F$64,1)))</f>
        <v>0</v>
      </c>
      <c r="G22" s="33">
        <f>If(Actuals!F22=1,0, IF(Actuals!H22="",0,rank(NetScores!G22,NetScores!G$4:G$64,1)))</f>
        <v>0</v>
      </c>
      <c r="H22" s="33">
        <f>If(Actuals!G22=1,0, IF(Actuals!I22="",0,rank(NetScores!H22,NetScores!H$4:H$64,1)))</f>
        <v>0</v>
      </c>
      <c r="I22" s="33">
        <f>If(Actuals!H22=1,0, IF(Actuals!J22="",0,rank(NetScores!I22,NetScores!I$4:I$64,1)))</f>
        <v>0</v>
      </c>
      <c r="J22" s="33">
        <f>If(Actuals!I22=1,0, IF(Actuals!K22="",0,rank(NetScores!J22,NetScores!J$4:J$64,1)))</f>
        <v>0</v>
      </c>
      <c r="K22" s="33">
        <f>If(Actuals!J22=1,0, IF(Actuals!L22="",0,rank(NetScores!K22,NetScores!K$4:K$64,1)))</f>
        <v>0</v>
      </c>
      <c r="L22" s="33">
        <f>If(Actuals!K22=1,0, IF(Actuals!M22="",0,rank(NetScores!L22,NetScores!L$4:L$64,1)))</f>
        <v>0</v>
      </c>
      <c r="M22" s="33">
        <f>If(Actuals!L22=1,0, IF(Actuals!N22="",0,rank(NetScores!M22,NetScores!M$4:M$64,1)))</f>
        <v>0</v>
      </c>
      <c r="N22" s="33">
        <f>If(Actuals!M22=1,0, IF(Actuals!O22="",0,rank(NetScores!N22,NetScores!N$4:N$64,1)))</f>
        <v>0</v>
      </c>
      <c r="O22" s="33">
        <f>If(Actuals!N22=1,0, IF(Actuals!P22="",0,rank(NetScores!O22,NetScores!O$4:O$64,1)))</f>
        <v>0</v>
      </c>
      <c r="P22" s="33">
        <f>If(Actuals!O22=1,0, IF(Actuals!Q22="",0,rank(NetScores!P22,NetScores!P$4:P$64,1)))</f>
        <v>0</v>
      </c>
      <c r="Q22" s="33">
        <f>If(Actuals!P22=1,0, IF(Actuals!R22="",0,rank(NetScores!Q22,NetScores!Q$4:Q$64,1)))</f>
        <v>0</v>
      </c>
      <c r="R22" s="20">
        <f t="shared" si="1"/>
        <v>0</v>
      </c>
      <c r="S22" s="20">
        <f t="shared" si="2"/>
        <v>0</v>
      </c>
      <c r="T22" s="20">
        <f t="shared" si="3"/>
        <v>0</v>
      </c>
    </row>
    <row r="23">
      <c r="A23" s="26" t="str">
        <f>Actuals!B23</f>
        <v>Luke W</v>
      </c>
      <c r="B23" s="33">
        <f>If(Actuals!A23=1,0, IF(Actuals!C23="",0,rank(NetScores!B23,NetScores!B$4:B$64,1)))</f>
        <v>0</v>
      </c>
      <c r="C23" s="33">
        <f>If(Actuals!B23=1,0, IF(Actuals!D23="",0,rank(NetScores!C23,NetScores!C$4:C$64,1)))</f>
        <v>0</v>
      </c>
      <c r="D23" s="33">
        <f>If(Actuals!C23=1,0, IF(Actuals!E23="",0,rank(NetScores!D23,NetScores!D$4:D$64,1)))</f>
        <v>2</v>
      </c>
      <c r="E23" s="33">
        <f>If(Actuals!D23=1,0, IF(Actuals!F23="",0,rank(NetScores!E23,NetScores!E$4:E$64,1)))</f>
        <v>0</v>
      </c>
      <c r="F23" s="33">
        <f>If(Actuals!E23=1,0, IF(Actuals!G23="",0,rank(NetScores!F23,NetScores!F$4:F$64,1)))</f>
        <v>0</v>
      </c>
      <c r="G23" s="33">
        <f>If(Actuals!F23=1,0, IF(Actuals!H23="",0,rank(NetScores!G23,NetScores!G$4:G$64,1)))</f>
        <v>0</v>
      </c>
      <c r="H23" s="33">
        <f>If(Actuals!G23=1,0, IF(Actuals!I23="",0,rank(NetScores!H23,NetScores!H$4:H$64,1)))</f>
        <v>0</v>
      </c>
      <c r="I23" s="33">
        <f>If(Actuals!H23=1,0, IF(Actuals!J23="",0,rank(NetScores!I23,NetScores!I$4:I$64,1)))</f>
        <v>0</v>
      </c>
      <c r="J23" s="33">
        <f>If(Actuals!I23=1,0, IF(Actuals!K23="",0,rank(NetScores!J23,NetScores!J$4:J$64,1)))</f>
        <v>0</v>
      </c>
      <c r="K23" s="33">
        <f>If(Actuals!J23=1,0, IF(Actuals!L23="",0,rank(NetScores!K23,NetScores!K$4:K$64,1)))</f>
        <v>0</v>
      </c>
      <c r="L23" s="33">
        <f>If(Actuals!K23=1,0, IF(Actuals!M23="",0,rank(NetScores!L23,NetScores!L$4:L$64,1)))</f>
        <v>0</v>
      </c>
      <c r="M23" s="33">
        <f>If(Actuals!L23=1,0, IF(Actuals!N23="",0,rank(NetScores!M23,NetScores!M$4:M$64,1)))</f>
        <v>0</v>
      </c>
      <c r="N23" s="33">
        <f>If(Actuals!M23=1,0, IF(Actuals!O23="",0,rank(NetScores!N23,NetScores!N$4:N$64,1)))</f>
        <v>0</v>
      </c>
      <c r="O23" s="33">
        <f>If(Actuals!N23=1,0, IF(Actuals!P23="",0,rank(NetScores!O23,NetScores!O$4:O$64,1)))</f>
        <v>0</v>
      </c>
      <c r="P23" s="33">
        <f>If(Actuals!O23=1,0, IF(Actuals!Q23="",0,rank(NetScores!P23,NetScores!P$4:P$64,1)))</f>
        <v>0</v>
      </c>
      <c r="Q23" s="33">
        <f>If(Actuals!P23=1,0, IF(Actuals!R23="",0,rank(NetScores!Q23,NetScores!Q$4:Q$64,1)))</f>
        <v>0</v>
      </c>
      <c r="R23" s="20">
        <f t="shared" si="1"/>
        <v>0</v>
      </c>
      <c r="S23" s="20">
        <f t="shared" si="2"/>
        <v>1</v>
      </c>
      <c r="T23" s="20">
        <f t="shared" si="3"/>
        <v>1</v>
      </c>
    </row>
    <row r="24">
      <c r="A24" s="26" t="str">
        <f>Actuals!B24</f>
        <v>Marc C</v>
      </c>
      <c r="B24" s="33">
        <f>If(Actuals!A24=1,0, IF(Actuals!C24="",0,rank(NetScores!B24,NetScores!B$4:B$64,1)))</f>
        <v>1</v>
      </c>
      <c r="C24" s="33">
        <f>If(Actuals!B24=1,0, IF(Actuals!D24="",0,rank(NetScores!C24,NetScores!C$4:C$64,1)))</f>
        <v>8</v>
      </c>
      <c r="D24" s="33">
        <f>If(Actuals!C24=1,0, IF(Actuals!E24="",0,rank(NetScores!D24,NetScores!D$4:D$64,1)))</f>
        <v>0</v>
      </c>
      <c r="E24" s="33">
        <f>If(Actuals!D24=1,0, IF(Actuals!F24="",0,rank(NetScores!E24,NetScores!E$4:E$64,1)))</f>
        <v>0</v>
      </c>
      <c r="F24" s="33">
        <f>If(Actuals!E24=1,0, IF(Actuals!G24="",0,rank(NetScores!F24,NetScores!F$4:F$64,1)))</f>
        <v>0</v>
      </c>
      <c r="G24" s="33">
        <f>If(Actuals!F24=1,0, IF(Actuals!H24="",0,rank(NetScores!G24,NetScores!G$4:G$64,1)))</f>
        <v>0</v>
      </c>
      <c r="H24" s="33">
        <f>If(Actuals!G24=1,0, IF(Actuals!I24="",0,rank(NetScores!H24,NetScores!H$4:H$64,1)))</f>
        <v>0</v>
      </c>
      <c r="I24" s="33">
        <f>If(Actuals!H24=1,0, IF(Actuals!J24="",0,rank(NetScores!I24,NetScores!I$4:I$64,1)))</f>
        <v>0</v>
      </c>
      <c r="J24" s="33">
        <f>If(Actuals!I24=1,0, IF(Actuals!K24="",0,rank(NetScores!J24,NetScores!J$4:J$64,1)))</f>
        <v>0</v>
      </c>
      <c r="K24" s="33">
        <f>If(Actuals!J24=1,0, IF(Actuals!L24="",0,rank(NetScores!K24,NetScores!K$4:K$64,1)))</f>
        <v>0</v>
      </c>
      <c r="L24" s="33">
        <f>If(Actuals!K24=1,0, IF(Actuals!M24="",0,rank(NetScores!L24,NetScores!L$4:L$64,1)))</f>
        <v>0</v>
      </c>
      <c r="M24" s="33">
        <f>If(Actuals!L24=1,0, IF(Actuals!N24="",0,rank(NetScores!M24,NetScores!M$4:M$64,1)))</f>
        <v>0</v>
      </c>
      <c r="N24" s="33">
        <f>If(Actuals!M24=1,0, IF(Actuals!O24="",0,rank(NetScores!N24,NetScores!N$4:N$64,1)))</f>
        <v>0</v>
      </c>
      <c r="O24" s="33">
        <f>If(Actuals!N24=1,0, IF(Actuals!P24="",0,rank(NetScores!O24,NetScores!O$4:O$64,1)))</f>
        <v>0</v>
      </c>
      <c r="P24" s="33">
        <f>If(Actuals!O24=1,0, IF(Actuals!Q24="",0,rank(NetScores!P24,NetScores!P$4:P$64,1)))</f>
        <v>0</v>
      </c>
      <c r="Q24" s="33">
        <f>If(Actuals!P24=1,0, IF(Actuals!R24="",0,rank(NetScores!Q24,NetScores!Q$4:Q$64,1)))</f>
        <v>0</v>
      </c>
      <c r="R24" s="20">
        <f t="shared" si="1"/>
        <v>1</v>
      </c>
      <c r="S24" s="20">
        <f t="shared" si="2"/>
        <v>1</v>
      </c>
      <c r="T24" s="20">
        <f t="shared" si="3"/>
        <v>1</v>
      </c>
    </row>
    <row r="25">
      <c r="A25" s="26" t="str">
        <f>Actuals!B25</f>
        <v>Mark M</v>
      </c>
      <c r="B25" s="33">
        <f>If(Actuals!A25=1,0, IF(Actuals!C25="",0,rank(NetScores!B25,NetScores!B$4:B$64,1)))</f>
        <v>8</v>
      </c>
      <c r="C25" s="33">
        <f>If(Actuals!B25=1,0, IF(Actuals!D25="",0,rank(NetScores!C25,NetScores!C$4:C$64,1)))</f>
        <v>7</v>
      </c>
      <c r="D25" s="33">
        <f>If(Actuals!C25=1,0, IF(Actuals!E25="",0,rank(NetScores!D25,NetScores!D$4:D$64,1)))</f>
        <v>8</v>
      </c>
      <c r="E25" s="33">
        <f>If(Actuals!D25=1,0, IF(Actuals!F25="",0,rank(NetScores!E25,NetScores!E$4:E$64,1)))</f>
        <v>0</v>
      </c>
      <c r="F25" s="33">
        <f>If(Actuals!E25=1,0, IF(Actuals!G25="",0,rank(NetScores!F25,NetScores!F$4:F$64,1)))</f>
        <v>0</v>
      </c>
      <c r="G25" s="33">
        <f>If(Actuals!F25=1,0, IF(Actuals!H25="",0,rank(NetScores!G25,NetScores!G$4:G$64,1)))</f>
        <v>0</v>
      </c>
      <c r="H25" s="33">
        <f>If(Actuals!G25=1,0, IF(Actuals!I25="",0,rank(NetScores!H25,NetScores!H$4:H$64,1)))</f>
        <v>0</v>
      </c>
      <c r="I25" s="33">
        <f>If(Actuals!H25=1,0, IF(Actuals!J25="",0,rank(NetScores!I25,NetScores!I$4:I$64,1)))</f>
        <v>0</v>
      </c>
      <c r="J25" s="33">
        <f>If(Actuals!I25=1,0, IF(Actuals!K25="",0,rank(NetScores!J25,NetScores!J$4:J$64,1)))</f>
        <v>0</v>
      </c>
      <c r="K25" s="33">
        <f>If(Actuals!J25=1,0, IF(Actuals!L25="",0,rank(NetScores!K25,NetScores!K$4:K$64,1)))</f>
        <v>0</v>
      </c>
      <c r="L25" s="33">
        <f>If(Actuals!K25=1,0, IF(Actuals!M25="",0,rank(NetScores!L25,NetScores!L$4:L$64,1)))</f>
        <v>0</v>
      </c>
      <c r="M25" s="33">
        <f>If(Actuals!L25=1,0, IF(Actuals!N25="",0,rank(NetScores!M25,NetScores!M$4:M$64,1)))</f>
        <v>0</v>
      </c>
      <c r="N25" s="33">
        <f>If(Actuals!M25=1,0, IF(Actuals!O25="",0,rank(NetScores!N25,NetScores!N$4:N$64,1)))</f>
        <v>0</v>
      </c>
      <c r="O25" s="33">
        <f>If(Actuals!N25=1,0, IF(Actuals!P25="",0,rank(NetScores!O25,NetScores!O$4:O$64,1)))</f>
        <v>0</v>
      </c>
      <c r="P25" s="33">
        <f>If(Actuals!O25=1,0, IF(Actuals!Q25="",0,rank(NetScores!P25,NetScores!P$4:P$64,1)))</f>
        <v>0</v>
      </c>
      <c r="Q25" s="33">
        <f>If(Actuals!P25=1,0, IF(Actuals!R25="",0,rank(NetScores!Q25,NetScores!Q$4:Q$64,1)))</f>
        <v>0</v>
      </c>
      <c r="R25" s="20">
        <f t="shared" si="1"/>
        <v>0</v>
      </c>
      <c r="S25" s="20">
        <f t="shared" si="2"/>
        <v>0</v>
      </c>
      <c r="T25" s="20">
        <f t="shared" si="3"/>
        <v>0</v>
      </c>
    </row>
    <row r="26">
      <c r="A26" s="26" t="str">
        <f>Actuals!B26</f>
        <v>Martin R</v>
      </c>
      <c r="B26" s="33">
        <f>If(Actuals!A26=1,0, IF(Actuals!C26="",0,rank(NetScores!B26,NetScores!B$4:B$64,1)))</f>
        <v>0</v>
      </c>
      <c r="C26" s="33">
        <f>If(Actuals!B26=1,0, IF(Actuals!D26="",0,rank(NetScores!C26,NetScores!C$4:C$64,1)))</f>
        <v>0</v>
      </c>
      <c r="D26" s="33">
        <f>If(Actuals!C26=1,0, IF(Actuals!E26="",0,rank(NetScores!D26,NetScores!D$4:D$64,1)))</f>
        <v>0</v>
      </c>
      <c r="E26" s="33">
        <f>If(Actuals!D26=1,0, IF(Actuals!F26="",0,rank(NetScores!E26,NetScores!E$4:E$64,1)))</f>
        <v>0</v>
      </c>
      <c r="F26" s="33">
        <f>If(Actuals!E26=1,0, IF(Actuals!G26="",0,rank(NetScores!F26,NetScores!F$4:F$64,1)))</f>
        <v>0</v>
      </c>
      <c r="G26" s="33">
        <f>If(Actuals!F26=1,0, IF(Actuals!H26="",0,rank(NetScores!G26,NetScores!G$4:G$64,1)))</f>
        <v>0</v>
      </c>
      <c r="H26" s="33">
        <f>If(Actuals!G26=1,0, IF(Actuals!I26="",0,rank(NetScores!H26,NetScores!H$4:H$64,1)))</f>
        <v>0</v>
      </c>
      <c r="I26" s="33">
        <f>If(Actuals!H26=1,0, IF(Actuals!J26="",0,rank(NetScores!I26,NetScores!I$4:I$64,1)))</f>
        <v>0</v>
      </c>
      <c r="J26" s="33">
        <f>If(Actuals!I26=1,0, IF(Actuals!K26="",0,rank(NetScores!J26,NetScores!J$4:J$64,1)))</f>
        <v>0</v>
      </c>
      <c r="K26" s="33">
        <f>If(Actuals!J26=1,0, IF(Actuals!L26="",0,rank(NetScores!K26,NetScores!K$4:K$64,1)))</f>
        <v>0</v>
      </c>
      <c r="L26" s="33">
        <f>If(Actuals!K26=1,0, IF(Actuals!M26="",0,rank(NetScores!L26,NetScores!L$4:L$64,1)))</f>
        <v>0</v>
      </c>
      <c r="M26" s="33">
        <f>If(Actuals!L26=1,0, IF(Actuals!N26="",0,rank(NetScores!M26,NetScores!M$4:M$64,1)))</f>
        <v>0</v>
      </c>
      <c r="N26" s="33">
        <f>If(Actuals!M26=1,0, IF(Actuals!O26="",0,rank(NetScores!N26,NetScores!N$4:N$64,1)))</f>
        <v>0</v>
      </c>
      <c r="O26" s="33">
        <f>If(Actuals!N26=1,0, IF(Actuals!P26="",0,rank(NetScores!O26,NetScores!O$4:O$64,1)))</f>
        <v>0</v>
      </c>
      <c r="P26" s="33">
        <f>If(Actuals!O26=1,0, IF(Actuals!Q26="",0,rank(NetScores!P26,NetScores!P$4:P$64,1)))</f>
        <v>0</v>
      </c>
      <c r="Q26" s="33">
        <f>If(Actuals!P26=1,0, IF(Actuals!R26="",0,rank(NetScores!Q26,NetScores!Q$4:Q$64,1)))</f>
        <v>0</v>
      </c>
      <c r="R26" s="20">
        <f t="shared" si="1"/>
        <v>0</v>
      </c>
      <c r="S26" s="20">
        <f t="shared" si="2"/>
        <v>0</v>
      </c>
      <c r="T26" s="20">
        <f t="shared" si="3"/>
        <v>0</v>
      </c>
    </row>
    <row r="27">
      <c r="A27" s="26" t="str">
        <f>Actuals!B27</f>
        <v>Minji S</v>
      </c>
      <c r="B27" s="33">
        <f>If(Actuals!A27=1,0, IF(Actuals!C27="",0,rank(NetScores!B27,NetScores!B$4:B$64,1)))</f>
        <v>0</v>
      </c>
      <c r="C27" s="33">
        <f>If(Actuals!B27=1,0, IF(Actuals!D27="",0,rank(NetScores!C27,NetScores!C$4:C$64,1)))</f>
        <v>0</v>
      </c>
      <c r="D27" s="33">
        <f>If(Actuals!C27=1,0, IF(Actuals!E27="",0,rank(NetScores!D27,NetScores!D$4:D$64,1)))</f>
        <v>0</v>
      </c>
      <c r="E27" s="33">
        <f>If(Actuals!D27=1,0, IF(Actuals!F27="",0,rank(NetScores!E27,NetScores!E$4:E$64,1)))</f>
        <v>0</v>
      </c>
      <c r="F27" s="33">
        <f>If(Actuals!E27=1,0, IF(Actuals!G27="",0,rank(NetScores!F27,NetScores!F$4:F$64,1)))</f>
        <v>0</v>
      </c>
      <c r="G27" s="33">
        <f>If(Actuals!F27=1,0, IF(Actuals!H27="",0,rank(NetScores!G27,NetScores!G$4:G$64,1)))</f>
        <v>0</v>
      </c>
      <c r="H27" s="33">
        <f>If(Actuals!G27=1,0, IF(Actuals!I27="",0,rank(NetScores!H27,NetScores!H$4:H$64,1)))</f>
        <v>0</v>
      </c>
      <c r="I27" s="33">
        <f>If(Actuals!H27=1,0, IF(Actuals!J27="",0,rank(NetScores!I27,NetScores!I$4:I$64,1)))</f>
        <v>0</v>
      </c>
      <c r="J27" s="33">
        <f>If(Actuals!I27=1,0, IF(Actuals!K27="",0,rank(NetScores!J27,NetScores!J$4:J$64,1)))</f>
        <v>0</v>
      </c>
      <c r="K27" s="33">
        <f>If(Actuals!J27=1,0, IF(Actuals!L27="",0,rank(NetScores!K27,NetScores!K$4:K$64,1)))</f>
        <v>0</v>
      </c>
      <c r="L27" s="33">
        <f>If(Actuals!K27=1,0, IF(Actuals!M27="",0,rank(NetScores!L27,NetScores!L$4:L$64,1)))</f>
        <v>0</v>
      </c>
      <c r="M27" s="33">
        <f>If(Actuals!L27=1,0, IF(Actuals!N27="",0,rank(NetScores!M27,NetScores!M$4:M$64,1)))</f>
        <v>0</v>
      </c>
      <c r="N27" s="33">
        <f>If(Actuals!M27=1,0, IF(Actuals!O27="",0,rank(NetScores!N27,NetScores!N$4:N$64,1)))</f>
        <v>0</v>
      </c>
      <c r="O27" s="33">
        <f>If(Actuals!N27=1,0, IF(Actuals!P27="",0,rank(NetScores!O27,NetScores!O$4:O$64,1)))</f>
        <v>0</v>
      </c>
      <c r="P27" s="33">
        <f>If(Actuals!O27=1,0, IF(Actuals!Q27="",0,rank(NetScores!P27,NetScores!P$4:P$64,1)))</f>
        <v>0</v>
      </c>
      <c r="Q27" s="33">
        <f>If(Actuals!P27=1,0, IF(Actuals!R27="",0,rank(NetScores!Q27,NetScores!Q$4:Q$64,1)))</f>
        <v>0</v>
      </c>
      <c r="R27" s="20">
        <f t="shared" si="1"/>
        <v>0</v>
      </c>
      <c r="S27" s="20">
        <f t="shared" si="2"/>
        <v>0</v>
      </c>
      <c r="T27" s="20">
        <f t="shared" si="3"/>
        <v>0</v>
      </c>
    </row>
    <row r="28">
      <c r="A28" s="26" t="str">
        <f>Actuals!B28</f>
        <v>Nate R</v>
      </c>
      <c r="B28" s="33">
        <f>If(Actuals!A28=1,0, IF(Actuals!C28="",0,rank(NetScores!B28,NetScores!B$4:B$64,1)))</f>
        <v>12</v>
      </c>
      <c r="C28" s="33">
        <f>If(Actuals!B28=1,0, IF(Actuals!D28="",0,rank(NetScores!C28,NetScores!C$4:C$64,1)))</f>
        <v>10</v>
      </c>
      <c r="D28" s="33">
        <f>If(Actuals!C28=1,0, IF(Actuals!E28="",0,rank(NetScores!D28,NetScores!D$4:D$64,1)))</f>
        <v>11</v>
      </c>
      <c r="E28" s="33">
        <f>If(Actuals!D28=1,0, IF(Actuals!F28="",0,rank(NetScores!E28,NetScores!E$4:E$64,1)))</f>
        <v>0</v>
      </c>
      <c r="F28" s="33">
        <f>If(Actuals!E28=1,0, IF(Actuals!G28="",0,rank(NetScores!F28,NetScores!F$4:F$64,1)))</f>
        <v>0</v>
      </c>
      <c r="G28" s="33">
        <f>If(Actuals!F28=1,0, IF(Actuals!H28="",0,rank(NetScores!G28,NetScores!G$4:G$64,1)))</f>
        <v>0</v>
      </c>
      <c r="H28" s="33">
        <f>If(Actuals!G28=1,0, IF(Actuals!I28="",0,rank(NetScores!H28,NetScores!H$4:H$64,1)))</f>
        <v>0</v>
      </c>
      <c r="I28" s="33">
        <f>If(Actuals!H28=1,0, IF(Actuals!J28="",0,rank(NetScores!I28,NetScores!I$4:I$64,1)))</f>
        <v>0</v>
      </c>
      <c r="J28" s="33">
        <f>If(Actuals!I28=1,0, IF(Actuals!K28="",0,rank(NetScores!J28,NetScores!J$4:J$64,1)))</f>
        <v>0</v>
      </c>
      <c r="K28" s="33">
        <f>If(Actuals!J28=1,0, IF(Actuals!L28="",0,rank(NetScores!K28,NetScores!K$4:K$64,1)))</f>
        <v>0</v>
      </c>
      <c r="L28" s="33">
        <f>If(Actuals!K28=1,0, IF(Actuals!M28="",0,rank(NetScores!L28,NetScores!L$4:L$64,1)))</f>
        <v>0</v>
      </c>
      <c r="M28" s="33">
        <f>If(Actuals!L28=1,0, IF(Actuals!N28="",0,rank(NetScores!M28,NetScores!M$4:M$64,1)))</f>
        <v>0</v>
      </c>
      <c r="N28" s="33">
        <f>If(Actuals!M28=1,0, IF(Actuals!O28="",0,rank(NetScores!N28,NetScores!N$4:N$64,1)))</f>
        <v>0</v>
      </c>
      <c r="O28" s="33">
        <f>If(Actuals!N28=1,0, IF(Actuals!P28="",0,rank(NetScores!O28,NetScores!O$4:O$64,1)))</f>
        <v>0</v>
      </c>
      <c r="P28" s="33">
        <f>If(Actuals!O28=1,0, IF(Actuals!Q28="",0,rank(NetScores!P28,NetScores!P$4:P$64,1)))</f>
        <v>0</v>
      </c>
      <c r="Q28" s="33">
        <f>If(Actuals!P28=1,0, IF(Actuals!R28="",0,rank(NetScores!Q28,NetScores!Q$4:Q$64,1)))</f>
        <v>0</v>
      </c>
      <c r="R28" s="20">
        <f t="shared" si="1"/>
        <v>0</v>
      </c>
      <c r="S28" s="20">
        <f t="shared" si="2"/>
        <v>0</v>
      </c>
      <c r="T28" s="20">
        <f t="shared" si="3"/>
        <v>0</v>
      </c>
    </row>
    <row r="29">
      <c r="A29" s="26" t="str">
        <f>Actuals!B29</f>
        <v>Phil J</v>
      </c>
      <c r="B29" s="33">
        <f>If(Actuals!A29=1,0, IF(Actuals!C29="",0,rank(NetScores!B29,NetScores!B$4:B$64,1)))</f>
        <v>0</v>
      </c>
      <c r="C29" s="33">
        <f>If(Actuals!B29=1,0, IF(Actuals!D29="",0,rank(NetScores!C29,NetScores!C$4:C$64,1)))</f>
        <v>0</v>
      </c>
      <c r="D29" s="33">
        <f>If(Actuals!C29=1,0, IF(Actuals!E29="",0,rank(NetScores!D29,NetScores!D$4:D$64,1)))</f>
        <v>0</v>
      </c>
      <c r="E29" s="33">
        <f>If(Actuals!D29=1,0, IF(Actuals!F29="",0,rank(NetScores!E29,NetScores!E$4:E$64,1)))</f>
        <v>0</v>
      </c>
      <c r="F29" s="33">
        <f>If(Actuals!E29=1,0, IF(Actuals!G29="",0,rank(NetScores!F29,NetScores!F$4:F$64,1)))</f>
        <v>0</v>
      </c>
      <c r="G29" s="33">
        <f>If(Actuals!F29=1,0, IF(Actuals!H29="",0,rank(NetScores!G29,NetScores!G$4:G$64,1)))</f>
        <v>0</v>
      </c>
      <c r="H29" s="33">
        <f>If(Actuals!G29=1,0, IF(Actuals!I29="",0,rank(NetScores!H29,NetScores!H$4:H$64,1)))</f>
        <v>0</v>
      </c>
      <c r="I29" s="33">
        <f>If(Actuals!H29=1,0, IF(Actuals!J29="",0,rank(NetScores!I29,NetScores!I$4:I$64,1)))</f>
        <v>0</v>
      </c>
      <c r="J29" s="33">
        <f>If(Actuals!I29=1,0, IF(Actuals!K29="",0,rank(NetScores!J29,NetScores!J$4:J$64,1)))</f>
        <v>0</v>
      </c>
      <c r="K29" s="33">
        <f>If(Actuals!J29=1,0, IF(Actuals!L29="",0,rank(NetScores!K29,NetScores!K$4:K$64,1)))</f>
        <v>0</v>
      </c>
      <c r="L29" s="33">
        <f>If(Actuals!K29=1,0, IF(Actuals!M29="",0,rank(NetScores!L29,NetScores!L$4:L$64,1)))</f>
        <v>0</v>
      </c>
      <c r="M29" s="33">
        <f>If(Actuals!L29=1,0, IF(Actuals!N29="",0,rank(NetScores!M29,NetScores!M$4:M$64,1)))</f>
        <v>0</v>
      </c>
      <c r="N29" s="33">
        <f>If(Actuals!M29=1,0, IF(Actuals!O29="",0,rank(NetScores!N29,NetScores!N$4:N$64,1)))</f>
        <v>0</v>
      </c>
      <c r="O29" s="33">
        <f>If(Actuals!N29=1,0, IF(Actuals!P29="",0,rank(NetScores!O29,NetScores!O$4:O$64,1)))</f>
        <v>0</v>
      </c>
      <c r="P29" s="33">
        <f>If(Actuals!O29=1,0, IF(Actuals!Q29="",0,rank(NetScores!P29,NetScores!P$4:P$64,1)))</f>
        <v>0</v>
      </c>
      <c r="Q29" s="33">
        <f>If(Actuals!P29=1,0, IF(Actuals!R29="",0,rank(NetScores!Q29,NetScores!Q$4:Q$64,1)))</f>
        <v>0</v>
      </c>
      <c r="R29" s="20">
        <f t="shared" si="1"/>
        <v>0</v>
      </c>
      <c r="S29" s="20">
        <f t="shared" si="2"/>
        <v>0</v>
      </c>
      <c r="T29" s="20">
        <f t="shared" si="3"/>
        <v>0</v>
      </c>
    </row>
    <row r="30">
      <c r="A30" s="26" t="str">
        <f>Actuals!B30</f>
        <v>Preston C</v>
      </c>
      <c r="B30" s="33">
        <f>If(Actuals!A30=1,0, IF(Actuals!C30="",0,rank(NetScores!B30,NetScores!B$4:B$64,1)))</f>
        <v>4</v>
      </c>
      <c r="C30" s="33">
        <f>If(Actuals!B30=1,0, IF(Actuals!D30="",0,rank(NetScores!C30,NetScores!C$4:C$64,1)))</f>
        <v>9</v>
      </c>
      <c r="D30" s="33">
        <f>If(Actuals!C30=1,0, IF(Actuals!E30="",0,rank(NetScores!D30,NetScores!D$4:D$64,1)))</f>
        <v>5</v>
      </c>
      <c r="E30" s="33">
        <f>If(Actuals!D30=1,0, IF(Actuals!F30="",0,rank(NetScores!E30,NetScores!E$4:E$64,1)))</f>
        <v>0</v>
      </c>
      <c r="F30" s="33">
        <f>If(Actuals!E30=1,0, IF(Actuals!G30="",0,rank(NetScores!F30,NetScores!F$4:F$64,1)))</f>
        <v>0</v>
      </c>
      <c r="G30" s="33">
        <f>If(Actuals!F30=1,0, IF(Actuals!H30="",0,rank(NetScores!G30,NetScores!G$4:G$64,1)))</f>
        <v>0</v>
      </c>
      <c r="H30" s="33">
        <f>If(Actuals!G30=1,0, IF(Actuals!I30="",0,rank(NetScores!H30,NetScores!H$4:H$64,1)))</f>
        <v>0</v>
      </c>
      <c r="I30" s="33">
        <f>If(Actuals!H30=1,0, IF(Actuals!J30="",0,rank(NetScores!I30,NetScores!I$4:I$64,1)))</f>
        <v>0</v>
      </c>
      <c r="J30" s="33">
        <f>If(Actuals!I30=1,0, IF(Actuals!K30="",0,rank(NetScores!J30,NetScores!J$4:J$64,1)))</f>
        <v>0</v>
      </c>
      <c r="K30" s="33">
        <f>If(Actuals!J30=1,0, IF(Actuals!L30="",0,rank(NetScores!K30,NetScores!K$4:K$64,1)))</f>
        <v>0</v>
      </c>
      <c r="L30" s="33">
        <f>If(Actuals!K30=1,0, IF(Actuals!M30="",0,rank(NetScores!L30,NetScores!L$4:L$64,1)))</f>
        <v>0</v>
      </c>
      <c r="M30" s="33">
        <f>If(Actuals!L30=1,0, IF(Actuals!N30="",0,rank(NetScores!M30,NetScores!M$4:M$64,1)))</f>
        <v>0</v>
      </c>
      <c r="N30" s="33">
        <f>If(Actuals!M30=1,0, IF(Actuals!O30="",0,rank(NetScores!N30,NetScores!N$4:N$64,1)))</f>
        <v>0</v>
      </c>
      <c r="O30" s="33">
        <f>If(Actuals!N30=1,0, IF(Actuals!P30="",0,rank(NetScores!O30,NetScores!O$4:O$64,1)))</f>
        <v>0</v>
      </c>
      <c r="P30" s="33">
        <f>If(Actuals!O30=1,0, IF(Actuals!Q30="",0,rank(NetScores!P30,NetScores!P$4:P$64,1)))</f>
        <v>0</v>
      </c>
      <c r="Q30" s="33">
        <f>If(Actuals!P30=1,0, IF(Actuals!R30="",0,rank(NetScores!Q30,NetScores!Q$4:Q$64,1)))</f>
        <v>0</v>
      </c>
      <c r="R30" s="20">
        <f t="shared" si="1"/>
        <v>0</v>
      </c>
      <c r="S30" s="20">
        <f t="shared" si="2"/>
        <v>0</v>
      </c>
      <c r="T30" s="20">
        <f t="shared" si="3"/>
        <v>2</v>
      </c>
    </row>
    <row r="31">
      <c r="A31" s="26" t="str">
        <f>Actuals!B31</f>
        <v>Rich</v>
      </c>
      <c r="B31" s="33">
        <f>If(Actuals!A31=1,0, IF(Actuals!C31="",0,rank(NetScores!B31,NetScores!B$4:B$64,1)))</f>
        <v>0</v>
      </c>
      <c r="C31" s="33">
        <f>If(Actuals!B31=1,0, IF(Actuals!D31="",0,rank(NetScores!C31,NetScores!C$4:C$64,1)))</f>
        <v>0</v>
      </c>
      <c r="D31" s="33">
        <f>If(Actuals!C31=1,0, IF(Actuals!E31="",0,rank(NetScores!D31,NetScores!D$4:D$64,1)))</f>
        <v>4</v>
      </c>
      <c r="E31" s="33">
        <f>If(Actuals!D31=1,0, IF(Actuals!F31="",0,rank(NetScores!E31,NetScores!E$4:E$64,1)))</f>
        <v>0</v>
      </c>
      <c r="F31" s="33">
        <f>If(Actuals!E31=1,0, IF(Actuals!G31="",0,rank(NetScores!F31,NetScores!F$4:F$64,1)))</f>
        <v>0</v>
      </c>
      <c r="G31" s="33">
        <f>If(Actuals!F31=1,0, IF(Actuals!H31="",0,rank(NetScores!G31,NetScores!G$4:G$64,1)))</f>
        <v>0</v>
      </c>
      <c r="H31" s="33">
        <f>If(Actuals!G31=1,0, IF(Actuals!I31="",0,rank(NetScores!H31,NetScores!H$4:H$64,1)))</f>
        <v>0</v>
      </c>
      <c r="I31" s="33">
        <f>If(Actuals!H31=1,0, IF(Actuals!J31="",0,rank(NetScores!I31,NetScores!I$4:I$64,1)))</f>
        <v>0</v>
      </c>
      <c r="J31" s="33">
        <f>If(Actuals!I31=1,0, IF(Actuals!K31="",0,rank(NetScores!J31,NetScores!J$4:J$64,1)))</f>
        <v>0</v>
      </c>
      <c r="K31" s="33">
        <f>If(Actuals!J31=1,0, IF(Actuals!L31="",0,rank(NetScores!K31,NetScores!K$4:K$64,1)))</f>
        <v>0</v>
      </c>
      <c r="L31" s="33">
        <f>If(Actuals!K31=1,0, IF(Actuals!M31="",0,rank(NetScores!L31,NetScores!L$4:L$64,1)))</f>
        <v>0</v>
      </c>
      <c r="M31" s="33">
        <f>If(Actuals!L31=1,0, IF(Actuals!N31="",0,rank(NetScores!M31,NetScores!M$4:M$64,1)))</f>
        <v>0</v>
      </c>
      <c r="N31" s="33">
        <f>If(Actuals!M31=1,0, IF(Actuals!O31="",0,rank(NetScores!N31,NetScores!N$4:N$64,1)))</f>
        <v>0</v>
      </c>
      <c r="O31" s="33">
        <f>If(Actuals!N31=1,0, IF(Actuals!P31="",0,rank(NetScores!O31,NetScores!O$4:O$64,1)))</f>
        <v>0</v>
      </c>
      <c r="P31" s="33">
        <f>If(Actuals!O31=1,0, IF(Actuals!Q31="",0,rank(NetScores!P31,NetScores!P$4:P$64,1)))</f>
        <v>0</v>
      </c>
      <c r="Q31" s="33">
        <f>If(Actuals!P31=1,0, IF(Actuals!R31="",0,rank(NetScores!Q31,NetScores!Q$4:Q$64,1)))</f>
        <v>0</v>
      </c>
      <c r="R31" s="20">
        <f t="shared" si="1"/>
        <v>0</v>
      </c>
      <c r="S31" s="20">
        <f t="shared" si="2"/>
        <v>0</v>
      </c>
      <c r="T31" s="20">
        <f t="shared" si="3"/>
        <v>1</v>
      </c>
    </row>
    <row r="32">
      <c r="A32" s="26" t="str">
        <f>Actuals!B32</f>
        <v>Russ B</v>
      </c>
      <c r="B32" s="33">
        <f>If(Actuals!A32=1,0, IF(Actuals!C32="",0,rank(NetScores!B32,NetScores!B$4:B$64,1)))</f>
        <v>0</v>
      </c>
      <c r="C32" s="33">
        <f>If(Actuals!B32=1,0, IF(Actuals!D32="",0,rank(NetScores!C32,NetScores!C$4:C$64,1)))</f>
        <v>0</v>
      </c>
      <c r="D32" s="33">
        <f>If(Actuals!C32=1,0, IF(Actuals!E32="",0,rank(NetScores!D32,NetScores!D$4:D$64,1)))</f>
        <v>0</v>
      </c>
      <c r="E32" s="33">
        <f>If(Actuals!D32=1,0, IF(Actuals!F32="",0,rank(NetScores!E32,NetScores!E$4:E$64,1)))</f>
        <v>0</v>
      </c>
      <c r="F32" s="33">
        <f>If(Actuals!E32=1,0, IF(Actuals!G32="",0,rank(NetScores!F32,NetScores!F$4:F$64,1)))</f>
        <v>0</v>
      </c>
      <c r="G32" s="33">
        <f>If(Actuals!F32=1,0, IF(Actuals!H32="",0,rank(NetScores!G32,NetScores!G$4:G$64,1)))</f>
        <v>0</v>
      </c>
      <c r="H32" s="33">
        <f>If(Actuals!G33=1,0, IF(Actuals!I32="",0,rank(NetScores!H32,NetScores!H$4:H$64,1)))</f>
        <v>0</v>
      </c>
      <c r="I32" s="33">
        <f>If(Actuals!H32=1,0, IF(Actuals!J32="",0,rank(NetScores!I32,NetScores!I$4:I$64,1)))</f>
        <v>0</v>
      </c>
      <c r="J32" s="33">
        <f>If(Actuals!I32=1,0, IF(Actuals!K32="",0,rank(NetScores!J32,NetScores!J$4:J$64,1)))</f>
        <v>0</v>
      </c>
      <c r="K32" s="33">
        <f>If(Actuals!J32=1,0, IF(Actuals!L32="",0,rank(NetScores!K32,NetScores!K$4:K$64,1)))</f>
        <v>0</v>
      </c>
      <c r="L32" s="33">
        <f>If(Actuals!K32=1,0, IF(Actuals!M32="",0,rank(NetScores!L32,NetScores!L$4:L$64,1)))</f>
        <v>0</v>
      </c>
      <c r="M32" s="33">
        <f>If(Actuals!L32=1,0, IF(Actuals!N32="",0,rank(NetScores!M32,NetScores!M$4:M$64,1)))</f>
        <v>0</v>
      </c>
      <c r="N32" s="33">
        <f>If(Actuals!M32=1,0, IF(Actuals!O32="",0,rank(NetScores!N32,NetScores!N$4:N$64,1)))</f>
        <v>0</v>
      </c>
      <c r="O32" s="33">
        <f>If(Actuals!N32=1,0, IF(Actuals!P32="",0,rank(NetScores!O32,NetScores!O$4:O$64,1)))</f>
        <v>0</v>
      </c>
      <c r="P32" s="33">
        <f>If(Actuals!O32=1,0, IF(Actuals!Q32="",0,rank(NetScores!P32,NetScores!P$4:P$64,1)))</f>
        <v>0</v>
      </c>
      <c r="Q32" s="33">
        <f>If(Actuals!P32=1,0, IF(Actuals!R32="",0,rank(NetScores!Q32,NetScores!Q$4:Q$64,1)))</f>
        <v>0</v>
      </c>
      <c r="R32" s="20">
        <f t="shared" si="1"/>
        <v>0</v>
      </c>
      <c r="S32" s="20">
        <f t="shared" si="2"/>
        <v>0</v>
      </c>
      <c r="T32" s="20">
        <f t="shared" si="3"/>
        <v>0</v>
      </c>
    </row>
    <row r="33">
      <c r="A33" s="26" t="str">
        <f>Actuals!B33</f>
        <v>Russ H</v>
      </c>
      <c r="B33" s="33">
        <f>If(Actuals!A33=1,0, IF(Actuals!C33="",0,rank(NetScores!B33,NetScores!B$4:B$64,1)))</f>
        <v>0</v>
      </c>
      <c r="C33" s="33">
        <f>If(Actuals!B33=1,0, IF(Actuals!D33="",0,rank(NetScores!C33,NetScores!C$4:C$64,1)))</f>
        <v>0</v>
      </c>
      <c r="D33" s="33">
        <f>If(Actuals!C33=1,0, IF(Actuals!E33="",0,rank(NetScores!D33,NetScores!D$4:D$64,1)))</f>
        <v>0</v>
      </c>
      <c r="E33" s="33">
        <f>If(Actuals!D33=1,0, IF(Actuals!F33="",0,rank(NetScores!E33,NetScores!E$4:E$64,1)))</f>
        <v>0</v>
      </c>
      <c r="F33" s="33">
        <f>If(Actuals!E33=1,0, IF(Actuals!G33="",0,rank(NetScores!F33,NetScores!F$4:F$64,1)))</f>
        <v>0</v>
      </c>
      <c r="G33" s="33">
        <f>If(Actuals!F33=1,0, IF(Actuals!H33="",0,rank(NetScores!G33,NetScores!G$4:G$64,1)))</f>
        <v>0</v>
      </c>
      <c r="H33" s="33">
        <f>If(Actuals!G34=1,0, IF(Actuals!I33="",0,rank(NetScores!H33,NetScores!H$4:H$64,1)))</f>
        <v>0</v>
      </c>
      <c r="I33" s="33">
        <f>If(Actuals!H33=1,0, IF(Actuals!J33="",0,rank(NetScores!I33,NetScores!I$4:I$64,1)))</f>
        <v>0</v>
      </c>
      <c r="J33" s="33">
        <f>If(Actuals!I33=1,0, IF(Actuals!K33="",0,rank(NetScores!J33,NetScores!J$4:J$64,1)))</f>
        <v>0</v>
      </c>
      <c r="K33" s="33">
        <f>If(Actuals!J33=1,0, IF(Actuals!L33="",0,rank(NetScores!K33,NetScores!K$4:K$64,1)))</f>
        <v>0</v>
      </c>
      <c r="L33" s="33">
        <f>If(Actuals!K33=1,0, IF(Actuals!M33="",0,rank(NetScores!L33,NetScores!L$4:L$64,1)))</f>
        <v>0</v>
      </c>
      <c r="M33" s="33">
        <f>If(Actuals!L33=1,0, IF(Actuals!N33="",0,rank(NetScores!M33,NetScores!M$4:M$64,1)))</f>
        <v>0</v>
      </c>
      <c r="N33" s="33">
        <f>If(Actuals!M33=1,0, IF(Actuals!O33="",0,rank(NetScores!N33,NetScores!N$4:N$64,1)))</f>
        <v>0</v>
      </c>
      <c r="O33" s="33">
        <f>If(Actuals!N33=1,0, IF(Actuals!P33="",0,rank(NetScores!O33,NetScores!O$4:O$64,1)))</f>
        <v>0</v>
      </c>
      <c r="P33" s="33">
        <f>If(Actuals!O33=1,0, IF(Actuals!Q33="",0,rank(NetScores!P33,NetScores!P$4:P$64,1)))</f>
        <v>0</v>
      </c>
      <c r="Q33" s="33">
        <f>If(Actuals!P33=1,0, IF(Actuals!R33="",0,rank(NetScores!Q33,NetScores!Q$4:Q$64,1)))</f>
        <v>0</v>
      </c>
      <c r="R33" s="20">
        <f t="shared" si="1"/>
        <v>0</v>
      </c>
      <c r="S33" s="20">
        <f t="shared" si="2"/>
        <v>0</v>
      </c>
      <c r="T33" s="20">
        <f t="shared" si="3"/>
        <v>0</v>
      </c>
    </row>
    <row r="34">
      <c r="A34" s="26" t="str">
        <f>Actuals!B34</f>
        <v>Ryan R</v>
      </c>
      <c r="B34" s="33">
        <f>If(Actuals!A34=1,0, IF(Actuals!C34="",0,rank(NetScores!B34,NetScores!B$4:B$64,1)))</f>
        <v>0</v>
      </c>
      <c r="C34" s="33">
        <f>If(Actuals!B34=1,0, IF(Actuals!D34="",0,rank(NetScores!C34,NetScores!C$4:C$64,1)))</f>
        <v>0</v>
      </c>
      <c r="D34" s="33">
        <f>If(Actuals!C34=1,0, IF(Actuals!E34="",0,rank(NetScores!D34,NetScores!D$4:D$64,1)))</f>
        <v>0</v>
      </c>
      <c r="E34" s="33">
        <f>If(Actuals!D34=1,0, IF(Actuals!F34="",0,rank(NetScores!E34,NetScores!E$4:E$64,1)))</f>
        <v>0</v>
      </c>
      <c r="F34" s="33">
        <f>If(Actuals!E34=1,0, IF(Actuals!G34="",0,rank(NetScores!F34,NetScores!F$4:F$64,1)))</f>
        <v>0</v>
      </c>
      <c r="G34" s="33">
        <f>If(Actuals!F34=1,0, IF(Actuals!H34="",0,rank(NetScores!G34,NetScores!G$4:G$64,1)))</f>
        <v>0</v>
      </c>
      <c r="H34" s="33">
        <f>If(Actuals!G34=1,0, IF(Actuals!I34="",0,rank(NetScores!H34,NetScores!H$4:H$64,1)))</f>
        <v>0</v>
      </c>
      <c r="I34" s="33">
        <f>If(Actuals!H34=1,0, IF(Actuals!J34="",0,rank(NetScores!I34,NetScores!I$4:I$64,1)))</f>
        <v>0</v>
      </c>
      <c r="J34" s="33">
        <f>If(Actuals!I34=1,0, IF(Actuals!K34="",0,rank(NetScores!J34,NetScores!J$4:J$64,1)))</f>
        <v>0</v>
      </c>
      <c r="K34" s="33">
        <f>If(Actuals!J34=1,0, IF(Actuals!L34="",0,rank(NetScores!K34,NetScores!K$4:K$64,1)))</f>
        <v>0</v>
      </c>
      <c r="L34" s="33">
        <f>If(Actuals!K34=1,0, IF(Actuals!M34="",0,rank(NetScores!L34,NetScores!L$4:L$64,1)))</f>
        <v>0</v>
      </c>
      <c r="M34" s="33">
        <f>If(Actuals!L34=1,0, IF(Actuals!N34="",0,rank(NetScores!M34,NetScores!M$4:M$64,1)))</f>
        <v>0</v>
      </c>
      <c r="N34" s="33">
        <f>If(Actuals!M34=1,0, IF(Actuals!O34="",0,rank(NetScores!N34,NetScores!N$4:N$64,1)))</f>
        <v>0</v>
      </c>
      <c r="O34" s="33">
        <f>If(Actuals!N34=1,0, IF(Actuals!P34="",0,rank(NetScores!O34,NetScores!O$4:O$64,1)))</f>
        <v>0</v>
      </c>
      <c r="P34" s="33">
        <f>If(Actuals!O34=1,0, IF(Actuals!Q34="",0,rank(NetScores!P34,NetScores!P$4:P$64,1)))</f>
        <v>0</v>
      </c>
      <c r="Q34" s="33">
        <f>If(Actuals!P34=1,0, IF(Actuals!R34="",0,rank(NetScores!Q34,NetScores!Q$4:Q$64,1)))</f>
        <v>0</v>
      </c>
      <c r="R34" s="20">
        <f t="shared" si="1"/>
        <v>0</v>
      </c>
      <c r="S34" s="20">
        <f t="shared" si="2"/>
        <v>0</v>
      </c>
      <c r="T34" s="20">
        <f t="shared" si="3"/>
        <v>0</v>
      </c>
    </row>
    <row r="35">
      <c r="A35" s="26" t="str">
        <f>Actuals!B35</f>
        <v>Scott M</v>
      </c>
      <c r="B35" s="33">
        <f>If(Actuals!A35=1,0, IF(Actuals!C35="",0,rank(NetScores!B35,NetScores!B$4:B$64,1)))</f>
        <v>0</v>
      </c>
      <c r="C35" s="33">
        <f>If(Actuals!B35=1,0, IF(Actuals!D35="",0,rank(NetScores!C35,NetScores!C$4:C$64,1)))</f>
        <v>0</v>
      </c>
      <c r="D35" s="33">
        <f>If(Actuals!C35=1,0, IF(Actuals!E35="",0,rank(NetScores!D35,NetScores!D$4:D$64,1)))</f>
        <v>0</v>
      </c>
      <c r="E35" s="33">
        <f>If(Actuals!D35=1,0, IF(Actuals!F35="",0,rank(NetScores!E35,NetScores!E$4:E$64,1)))</f>
        <v>0</v>
      </c>
      <c r="F35" s="33">
        <f>If(Actuals!E35=1,0, IF(Actuals!G35="",0,rank(NetScores!F35,NetScores!F$4:F$64,1)))</f>
        <v>0</v>
      </c>
      <c r="G35" s="33">
        <f>If(Actuals!F35=1,0, IF(Actuals!H35="",0,rank(NetScores!G35,NetScores!G$4:G$64,1)))</f>
        <v>0</v>
      </c>
      <c r="H35" s="33">
        <f>If(Actuals!G35=1,0, IF(Actuals!I35="",0,rank(NetScores!H35,NetScores!H$4:H$64,1)))</f>
        <v>0</v>
      </c>
      <c r="I35" s="33">
        <f>If(Actuals!H35=1,0, IF(Actuals!J35="",0,rank(NetScores!I35,NetScores!I$4:I$64,1)))</f>
        <v>0</v>
      </c>
      <c r="J35" s="33">
        <f>If(Actuals!I35=1,0, IF(Actuals!K35="",0,rank(NetScores!J35,NetScores!J$4:J$64,1)))</f>
        <v>0</v>
      </c>
      <c r="K35" s="33">
        <f>If(Actuals!J35=1,0, IF(Actuals!L35="",0,rank(NetScores!K35,NetScores!K$4:K$64,1)))</f>
        <v>0</v>
      </c>
      <c r="L35" s="33">
        <f>If(Actuals!K35=1,0, IF(Actuals!M35="",0,rank(NetScores!L35,NetScores!L$4:L$64,1)))</f>
        <v>0</v>
      </c>
      <c r="M35" s="33">
        <f>If(Actuals!L35=1,0, IF(Actuals!N35="",0,rank(NetScores!M35,NetScores!M$4:M$64,1)))</f>
        <v>0</v>
      </c>
      <c r="N35" s="33">
        <f>If(Actuals!M35=1,0, IF(Actuals!O35="",0,rank(NetScores!N35,NetScores!N$4:N$64,1)))</f>
        <v>0</v>
      </c>
      <c r="O35" s="33">
        <f>If(Actuals!N35=1,0, IF(Actuals!P35="",0,rank(NetScores!O35,NetScores!O$4:O$64,1)))</f>
        <v>0</v>
      </c>
      <c r="P35" s="33">
        <f>If(Actuals!O35=1,0, IF(Actuals!Q35="",0,rank(NetScores!P35,NetScores!P$4:P$64,1)))</f>
        <v>0</v>
      </c>
      <c r="Q35" s="33">
        <f>If(Actuals!P35=1,0, IF(Actuals!R35="",0,rank(NetScores!Q35,NetScores!Q$4:Q$64,1)))</f>
        <v>0</v>
      </c>
      <c r="R35" s="20">
        <f t="shared" si="1"/>
        <v>0</v>
      </c>
      <c r="S35" s="20">
        <f t="shared" si="2"/>
        <v>0</v>
      </c>
      <c r="T35" s="20">
        <f t="shared" si="3"/>
        <v>0</v>
      </c>
    </row>
    <row r="36">
      <c r="A36" s="26" t="str">
        <f>Actuals!B36</f>
        <v>Seth A</v>
      </c>
      <c r="B36" s="33">
        <f>If(Actuals!A36=1,0, IF(Actuals!C36="",0,rank(NetScores!B36,NetScores!B$4:B$64,1)))</f>
        <v>0</v>
      </c>
      <c r="C36" s="33">
        <f>If(Actuals!B36=1,0, IF(Actuals!D36="",0,rank(NetScores!C36,NetScores!C$4:C$64,1)))</f>
        <v>0</v>
      </c>
      <c r="D36" s="33">
        <f>If(Actuals!C36=1,0, IF(Actuals!E36="",0,rank(NetScores!D36,NetScores!D$4:D$64,1)))</f>
        <v>0</v>
      </c>
      <c r="E36" s="33">
        <f>If(Actuals!D36=1,0, IF(Actuals!F36="",0,rank(NetScores!E36,NetScores!E$4:E$64,1)))</f>
        <v>0</v>
      </c>
      <c r="F36" s="33">
        <f>If(Actuals!E36=1,0, IF(Actuals!G36="",0,rank(NetScores!F36,NetScores!F$4:F$64,1)))</f>
        <v>0</v>
      </c>
      <c r="G36" s="33">
        <f>If(Actuals!F36=1,0, IF(Actuals!H36="",0,rank(NetScores!G36,NetScores!G$4:G$64,1)))</f>
        <v>0</v>
      </c>
      <c r="H36" s="33">
        <f>If(Actuals!G36=1,0, IF(Actuals!I36="",0,rank(NetScores!H36,NetScores!H$4:H$64,1)))</f>
        <v>0</v>
      </c>
      <c r="I36" s="33">
        <f>If(Actuals!H36=1,0, IF(Actuals!J36="",0,rank(NetScores!I36,NetScores!I$4:I$64,1)))</f>
        <v>0</v>
      </c>
      <c r="J36" s="33">
        <f>If(Actuals!I36=1,0, IF(Actuals!K36="",0,rank(NetScores!J36,NetScores!J$4:J$64,1)))</f>
        <v>0</v>
      </c>
      <c r="K36" s="33">
        <f>If(Actuals!J36=1,0, IF(Actuals!L36="",0,rank(NetScores!K36,NetScores!K$4:K$64,1)))</f>
        <v>0</v>
      </c>
      <c r="L36" s="33">
        <f>If(Actuals!K36=1,0, IF(Actuals!M36="",0,rank(NetScores!L36,NetScores!L$4:L$64,1)))</f>
        <v>0</v>
      </c>
      <c r="M36" s="33">
        <f>If(Actuals!L36=1,0, IF(Actuals!N36="",0,rank(NetScores!M36,NetScores!M$4:M$64,1)))</f>
        <v>0</v>
      </c>
      <c r="N36" s="33">
        <f>If(Actuals!M36=1,0, IF(Actuals!O36="",0,rank(NetScores!N36,NetScores!N$4:N$64,1)))</f>
        <v>0</v>
      </c>
      <c r="O36" s="33">
        <f>If(Actuals!N36=1,0, IF(Actuals!P36="",0,rank(NetScores!O36,NetScores!O$4:O$64,1)))</f>
        <v>0</v>
      </c>
      <c r="P36" s="33">
        <f>If(Actuals!O36=1,0, IF(Actuals!Q36="",0,rank(NetScores!P36,NetScores!P$4:P$64,1)))</f>
        <v>0</v>
      </c>
      <c r="Q36" s="33">
        <f>If(Actuals!P36=1,0, IF(Actuals!R36="",0,rank(NetScores!Q36,NetScores!Q$4:Q$64,1)))</f>
        <v>0</v>
      </c>
      <c r="R36" s="20">
        <f t="shared" si="1"/>
        <v>0</v>
      </c>
      <c r="S36" s="20">
        <f t="shared" si="2"/>
        <v>0</v>
      </c>
      <c r="T36" s="20">
        <f t="shared" si="3"/>
        <v>0</v>
      </c>
    </row>
    <row r="37">
      <c r="A37" s="26" t="str">
        <f>Actuals!B37</f>
        <v>Simon R</v>
      </c>
      <c r="B37" s="33">
        <f>If(Actuals!A37=1,0, IF(Actuals!C37="",0,rank(NetScores!B37,NetScores!B$4:B$64,1)))</f>
        <v>7</v>
      </c>
      <c r="C37" s="33">
        <f>If(Actuals!B37=1,0, IF(Actuals!D37="",0,rank(NetScores!C37,NetScores!C$4:C$64,1)))</f>
        <v>0</v>
      </c>
      <c r="D37" s="33">
        <f>If(Actuals!C37=1,0, IF(Actuals!E37="",0,rank(NetScores!D37,NetScores!D$4:D$64,1)))</f>
        <v>0</v>
      </c>
      <c r="E37" s="33">
        <f>If(Actuals!D37=1,0, IF(Actuals!F37="",0,rank(NetScores!E37,NetScores!E$4:E$64,1)))</f>
        <v>0</v>
      </c>
      <c r="F37" s="33">
        <f>If(Actuals!E37=1,0, IF(Actuals!G37="",0,rank(NetScores!F37,NetScores!F$4:F$64,1)))</f>
        <v>0</v>
      </c>
      <c r="G37" s="33">
        <f>If(Actuals!F37=1,0, IF(Actuals!H37="",0,rank(NetScores!G37,NetScores!G$4:G$64,1)))</f>
        <v>0</v>
      </c>
      <c r="H37" s="33">
        <f>If(Actuals!G37=1,0, IF(Actuals!I37="",0,rank(NetScores!H37,NetScores!H$4:H$64,1)))</f>
        <v>0</v>
      </c>
      <c r="I37" s="33">
        <f>If(Actuals!H37=1,0, IF(Actuals!J37="",0,rank(NetScores!I37,NetScores!I$4:I$64,1)))</f>
        <v>0</v>
      </c>
      <c r="J37" s="33">
        <f>If(Actuals!I37=1,0, IF(Actuals!K37="",0,rank(NetScores!J37,NetScores!J$4:J$64,1)))</f>
        <v>0</v>
      </c>
      <c r="K37" s="33">
        <f>If(Actuals!J37=1,0, IF(Actuals!L37="",0,rank(NetScores!K37,NetScores!K$4:K$64,1)))</f>
        <v>0</v>
      </c>
      <c r="L37" s="33">
        <f>If(Actuals!K37=1,0, IF(Actuals!M37="",0,rank(NetScores!L37,NetScores!L$4:L$64,1)))</f>
        <v>0</v>
      </c>
      <c r="M37" s="33">
        <f>If(Actuals!L37=1,0, IF(Actuals!N37="",0,rank(NetScores!M37,NetScores!M$4:M$64,1)))</f>
        <v>0</v>
      </c>
      <c r="N37" s="33">
        <f>If(Actuals!M37=1,0, IF(Actuals!O37="",0,rank(NetScores!N37,NetScores!N$4:N$64,1)))</f>
        <v>0</v>
      </c>
      <c r="O37" s="33">
        <f>If(Actuals!N37=1,0, IF(Actuals!P37="",0,rank(NetScores!O37,NetScores!O$4:O$64,1)))</f>
        <v>0</v>
      </c>
      <c r="P37" s="33">
        <f>If(Actuals!O37=1,0, IF(Actuals!Q37="",0,rank(NetScores!P37,NetScores!P$4:P$64,1)))</f>
        <v>0</v>
      </c>
      <c r="Q37" s="33">
        <f>If(Actuals!P37=1,0, IF(Actuals!R37="",0,rank(NetScores!Q37,NetScores!Q$4:Q$64,1)))</f>
        <v>0</v>
      </c>
      <c r="R37" s="20">
        <f t="shared" si="1"/>
        <v>0</v>
      </c>
      <c r="S37" s="20">
        <f t="shared" si="2"/>
        <v>0</v>
      </c>
      <c r="T37" s="20">
        <f t="shared" si="3"/>
        <v>0</v>
      </c>
    </row>
    <row r="38">
      <c r="A38" s="26" t="str">
        <f>Actuals!B38</f>
        <v>Steve S</v>
      </c>
      <c r="B38" s="33">
        <f>If(Actuals!A38=1,0, IF(Actuals!C38="",0,rank(NetScores!B38,NetScores!B$4:B$64,1)))</f>
        <v>0</v>
      </c>
      <c r="C38" s="33">
        <f>If(Actuals!B38=1,0, IF(Actuals!D38="",0,rank(NetScores!C38,NetScores!C$4:C$64,1)))</f>
        <v>0</v>
      </c>
      <c r="D38" s="33">
        <f>If(Actuals!C38=1,0, IF(Actuals!E38="",0,rank(NetScores!D38,NetScores!D$4:D$64,1)))</f>
        <v>0</v>
      </c>
      <c r="E38" s="33">
        <f>If(Actuals!D38=1,0, IF(Actuals!F38="",0,rank(NetScores!E38,NetScores!E$4:E$64,1)))</f>
        <v>0</v>
      </c>
      <c r="F38" s="33">
        <f>If(Actuals!E38=1,0, IF(Actuals!G38="",0,rank(NetScores!F38,NetScores!F$4:F$64,1)))</f>
        <v>0</v>
      </c>
      <c r="G38" s="33">
        <f>If(Actuals!F38=1,0, IF(Actuals!H38="",0,rank(NetScores!G38,NetScores!G$4:G$64,1)))</f>
        <v>0</v>
      </c>
      <c r="H38" s="33">
        <f>If(Actuals!G38=1,0, IF(Actuals!I38="",0,rank(NetScores!H38,NetScores!H$4:H$64,1)))</f>
        <v>0</v>
      </c>
      <c r="I38" s="33">
        <f>If(Actuals!H38=1,0, IF(Actuals!J38="",0,rank(NetScores!I38,NetScores!I$4:I$64,1)))</f>
        <v>0</v>
      </c>
      <c r="J38" s="33">
        <f>If(Actuals!I38=1,0, IF(Actuals!K38="",0,rank(NetScores!J38,NetScores!J$4:J$64,1)))</f>
        <v>0</v>
      </c>
      <c r="K38" s="33">
        <f>If(Actuals!J38=1,0, IF(Actuals!L38="",0,rank(NetScores!K38,NetScores!K$4:K$64,1)))</f>
        <v>0</v>
      </c>
      <c r="L38" s="33">
        <f>If(Actuals!K38=1,0, IF(Actuals!M38="",0,rank(NetScores!L38,NetScores!L$4:L$64,1)))</f>
        <v>0</v>
      </c>
      <c r="M38" s="33">
        <f>If(Actuals!L38=1,0, IF(Actuals!N38="",0,rank(NetScores!M38,NetScores!M$4:M$64,1)))</f>
        <v>0</v>
      </c>
      <c r="N38" s="33">
        <f>If(Actuals!M38=1,0, IF(Actuals!O38="",0,rank(NetScores!N38,NetScores!N$4:N$64,1)))</f>
        <v>0</v>
      </c>
      <c r="O38" s="33">
        <f>If(Actuals!N38=1,0, IF(Actuals!P38="",0,rank(NetScores!O38,NetScores!O$4:O$64,1)))</f>
        <v>0</v>
      </c>
      <c r="P38" s="33">
        <f>If(Actuals!O38=1,0, IF(Actuals!Q38="",0,rank(NetScores!P38,NetScores!P$4:P$64,1)))</f>
        <v>0</v>
      </c>
      <c r="Q38" s="33">
        <f>If(Actuals!P38=1,0, IF(Actuals!R38="",0,rank(NetScores!Q38,NetScores!Q$4:Q$64,1)))</f>
        <v>0</v>
      </c>
      <c r="R38" s="20">
        <f t="shared" si="1"/>
        <v>0</v>
      </c>
      <c r="S38" s="20">
        <f t="shared" si="2"/>
        <v>0</v>
      </c>
      <c r="T38" s="20">
        <f t="shared" si="3"/>
        <v>0</v>
      </c>
    </row>
    <row r="39">
      <c r="A39" s="26" t="str">
        <f>Actuals!B39</f>
        <v>Tanner Brown</v>
      </c>
      <c r="B39" s="33">
        <f>If(Actuals!A39=1,0, IF(Actuals!C39="",0,rank(NetScores!B39,NetScores!B$4:B$64,1)))</f>
        <v>0</v>
      </c>
      <c r="C39" s="33">
        <f>If(Actuals!B39=1,0, IF(Actuals!D39="",0,rank(NetScores!C39,NetScores!C$4:C$64,1)))</f>
        <v>2</v>
      </c>
      <c r="D39" s="33">
        <f>If(Actuals!C39=1,0, IF(Actuals!E39="",0,rank(NetScores!D39,NetScores!D$4:D$64,1)))</f>
        <v>0</v>
      </c>
      <c r="E39" s="33">
        <f>If(Actuals!D39=1,0, IF(Actuals!F39="",0,rank(NetScores!E39,NetScores!E$4:E$64,1)))</f>
        <v>0</v>
      </c>
      <c r="F39" s="33">
        <f>If(Actuals!E39=1,0, IF(Actuals!G39="",0,rank(NetScores!F39,NetScores!F$4:F$64,1)))</f>
        <v>0</v>
      </c>
      <c r="G39" s="33">
        <f>If(Actuals!F39=1,0, IF(Actuals!H39="",0,rank(NetScores!G39,NetScores!G$4:G$64,1)))</f>
        <v>0</v>
      </c>
      <c r="H39" s="33">
        <f>If(Actuals!G39=1,0, IF(Actuals!I39="",0,rank(NetScores!H39,NetScores!H$4:H$64,1)))</f>
        <v>0</v>
      </c>
      <c r="I39" s="33">
        <f>If(Actuals!H39=1,0, IF(Actuals!J39="",0,rank(NetScores!I39,NetScores!I$4:I$64,1)))</f>
        <v>0</v>
      </c>
      <c r="J39" s="33">
        <f>If(Actuals!I39=1,0, IF(Actuals!K39="",0,rank(NetScores!J39,NetScores!J$4:J$64,1)))</f>
        <v>0</v>
      </c>
      <c r="K39" s="33">
        <f>If(Actuals!J39=1,0, IF(Actuals!L39="",0,rank(NetScores!K39,NetScores!K$4:K$64,1)))</f>
        <v>0</v>
      </c>
      <c r="L39" s="33">
        <f>If(Actuals!K39=1,0, IF(Actuals!M39="",0,rank(NetScores!L39,NetScores!L$4:L$64,1)))</f>
        <v>0</v>
      </c>
      <c r="M39" s="33">
        <f>If(Actuals!L39=1,0, IF(Actuals!N39="",0,rank(NetScores!M39,NetScores!M$4:M$64,1)))</f>
        <v>0</v>
      </c>
      <c r="N39" s="33">
        <f>If(Actuals!M39=1,0, IF(Actuals!O39="",0,rank(NetScores!N39,NetScores!N$4:N$64,1)))</f>
        <v>0</v>
      </c>
      <c r="O39" s="33">
        <f>If(Actuals!N39=1,0, IF(Actuals!P39="",0,rank(NetScores!O39,NetScores!O$4:O$64,1)))</f>
        <v>0</v>
      </c>
      <c r="P39" s="33">
        <f>If(Actuals!O39=1,0, IF(Actuals!Q39="",0,rank(NetScores!P39,NetScores!P$4:P$64,1)))</f>
        <v>0</v>
      </c>
      <c r="Q39" s="33">
        <f>If(Actuals!P39=1,0, IF(Actuals!R39="",0,rank(NetScores!Q39,NetScores!Q$4:Q$64,1)))</f>
        <v>0</v>
      </c>
      <c r="R39" s="20">
        <f t="shared" si="1"/>
        <v>0</v>
      </c>
      <c r="S39" s="20">
        <f t="shared" si="2"/>
        <v>1</v>
      </c>
      <c r="T39" s="20">
        <f t="shared" si="3"/>
        <v>1</v>
      </c>
    </row>
    <row r="40">
      <c r="A40" s="26" t="str">
        <f>Actuals!B40</f>
        <v>Tanner Buechele</v>
      </c>
      <c r="B40" s="33">
        <f>If(Actuals!A40=1,0, IF(Actuals!C40="",0,rank(NetScores!B40,NetScores!B$4:B$64,1)))</f>
        <v>0</v>
      </c>
      <c r="C40" s="33">
        <f>If(Actuals!B40=1,0, IF(Actuals!D40="",0,rank(NetScores!C40,NetScores!C$4:C$64,1)))</f>
        <v>0</v>
      </c>
      <c r="D40" s="33">
        <f>If(Actuals!C40=1,0, IF(Actuals!E40="",0,rank(NetScores!D40,NetScores!D$4:D$64,1)))</f>
        <v>0</v>
      </c>
      <c r="E40" s="33">
        <f>If(Actuals!D40=1,0, IF(Actuals!F40="",0,rank(NetScores!E40,NetScores!E$4:E$64,1)))</f>
        <v>0</v>
      </c>
      <c r="F40" s="33">
        <f>If(Actuals!E40=1,0, IF(Actuals!G40="",0,rank(NetScores!F40,NetScores!F$4:F$64,1)))</f>
        <v>0</v>
      </c>
      <c r="G40" s="33">
        <f>If(Actuals!F40=1,0, IF(Actuals!H40="",0,rank(NetScores!G40,NetScores!G$4:G$64,1)))</f>
        <v>0</v>
      </c>
      <c r="H40" s="33">
        <f>If(Actuals!G40=1,0, IF(Actuals!I40="",0,rank(NetScores!H40,NetScores!H$4:H$64,1)))</f>
        <v>0</v>
      </c>
      <c r="I40" s="33">
        <f>If(Actuals!H40=1,0, IF(Actuals!J40="",0,rank(NetScores!I40,NetScores!I$4:I$64,1)))</f>
        <v>0</v>
      </c>
      <c r="J40" s="33">
        <f>If(Actuals!I40=1,0, IF(Actuals!K40="",0,rank(NetScores!J40,NetScores!J$4:J$64,1)))</f>
        <v>0</v>
      </c>
      <c r="K40" s="33">
        <f>If(Actuals!J40=1,0, IF(Actuals!L40="",0,rank(NetScores!K40,NetScores!K$4:K$64,1)))</f>
        <v>0</v>
      </c>
      <c r="L40" s="33">
        <f>If(Actuals!K40=1,0, IF(Actuals!M40="",0,rank(NetScores!L40,NetScores!L$4:L$64,1)))</f>
        <v>0</v>
      </c>
      <c r="M40" s="33">
        <f>If(Actuals!L40=1,0, IF(Actuals!N40="",0,rank(NetScores!M40,NetScores!M$4:M$64,1)))</f>
        <v>0</v>
      </c>
      <c r="N40" s="33">
        <f>If(Actuals!M40=1,0, IF(Actuals!O40="",0,rank(NetScores!N40,NetScores!N$4:N$64,1)))</f>
        <v>0</v>
      </c>
      <c r="O40" s="33">
        <f>If(Actuals!N40=1,0, IF(Actuals!P40="",0,rank(NetScores!O40,NetScores!O$4:O$64,1)))</f>
        <v>0</v>
      </c>
      <c r="P40" s="33">
        <f>If(Actuals!O40=1,0, IF(Actuals!Q40="",0,rank(NetScores!P40,NetScores!P$4:P$64,1)))</f>
        <v>0</v>
      </c>
      <c r="Q40" s="33">
        <f>If(Actuals!P40=1,0, IF(Actuals!R40="",0,rank(NetScores!Q40,NetScores!Q$4:Q$64,1)))</f>
        <v>0</v>
      </c>
      <c r="R40" s="20">
        <f t="shared" si="1"/>
        <v>0</v>
      </c>
      <c r="S40" s="20">
        <f t="shared" si="2"/>
        <v>0</v>
      </c>
      <c r="T40" s="20">
        <f t="shared" si="3"/>
        <v>0</v>
      </c>
    </row>
    <row r="41">
      <c r="A41" s="26" t="str">
        <f>Actuals!B41</f>
        <v>Thomas Y</v>
      </c>
      <c r="B41" s="33">
        <f>If(Actuals!A41=1,0, IF(Actuals!C41="",0,rank(NetScores!B41,NetScores!B$4:B$64,1)))</f>
        <v>0</v>
      </c>
      <c r="C41" s="33">
        <f>If(Actuals!B41=1,0, IF(Actuals!D41="",0,rank(NetScores!C41,NetScores!C$4:C$64,1)))</f>
        <v>0</v>
      </c>
      <c r="D41" s="33">
        <f>If(Actuals!C41=1,0, IF(Actuals!E41="",0,rank(NetScores!D41,NetScores!D$4:D$64,1)))</f>
        <v>0</v>
      </c>
      <c r="E41" s="33">
        <f>If(Actuals!D41=1,0, IF(Actuals!F41="",0,rank(NetScores!E41,NetScores!E$4:E$64,1)))</f>
        <v>0</v>
      </c>
      <c r="F41" s="33">
        <f>If(Actuals!E41=1,0, IF(Actuals!G41="",0,rank(NetScores!F41,NetScores!F$4:F$64,1)))</f>
        <v>0</v>
      </c>
      <c r="G41" s="33">
        <f>If(Actuals!F41=1,0, IF(Actuals!H41="",0,rank(NetScores!G41,NetScores!G$4:G$64,1)))</f>
        <v>0</v>
      </c>
      <c r="H41" s="33">
        <f>If(Actuals!G41=1,0, IF(Actuals!I41="",0,rank(NetScores!H41,NetScores!H$4:H$64,1)))</f>
        <v>0</v>
      </c>
      <c r="I41" s="33">
        <f>If(Actuals!H41=1,0, IF(Actuals!J41="",0,rank(NetScores!I41,NetScores!I$4:I$64,1)))</f>
        <v>0</v>
      </c>
      <c r="J41" s="33">
        <f>If(Actuals!I41=1,0, IF(Actuals!K41="",0,rank(NetScores!J41,NetScores!J$4:J$64,1)))</f>
        <v>0</v>
      </c>
      <c r="K41" s="33">
        <f>If(Actuals!J41=1,0, IF(Actuals!L41="",0,rank(NetScores!K41,NetScores!K$4:K$64,1)))</f>
        <v>0</v>
      </c>
      <c r="L41" s="33">
        <f>If(Actuals!K41=1,0, IF(Actuals!M41="",0,rank(NetScores!L41,NetScores!L$4:L$64,1)))</f>
        <v>0</v>
      </c>
      <c r="M41" s="33">
        <f>If(Actuals!L41=1,0, IF(Actuals!N41="",0,rank(NetScores!M41,NetScores!M$4:M$64,1)))</f>
        <v>0</v>
      </c>
      <c r="N41" s="33">
        <f>If(Actuals!M41=1,0, IF(Actuals!O41="",0,rank(NetScores!N41,NetScores!N$4:N$64,1)))</f>
        <v>0</v>
      </c>
      <c r="O41" s="33">
        <f>If(Actuals!N41=1,0, IF(Actuals!P41="",0,rank(NetScores!O41,NetScores!O$4:O$64,1)))</f>
        <v>0</v>
      </c>
      <c r="P41" s="33">
        <f>If(Actuals!O41=1,0, IF(Actuals!Q41="",0,rank(NetScores!P41,NetScores!P$4:P$64,1)))</f>
        <v>0</v>
      </c>
      <c r="Q41" s="33">
        <f>If(Actuals!P41=1,0, IF(Actuals!R41="",0,rank(NetScores!Q41,NetScores!Q$4:Q$64,1)))</f>
        <v>0</v>
      </c>
      <c r="R41" s="20">
        <f t="shared" si="1"/>
        <v>0</v>
      </c>
      <c r="S41" s="20">
        <f t="shared" si="2"/>
        <v>0</v>
      </c>
      <c r="T41" s="20">
        <f t="shared" si="3"/>
        <v>0</v>
      </c>
    </row>
    <row r="42">
      <c r="A42" s="26" t="str">
        <f>Actuals!B42</f>
        <v>Tom B</v>
      </c>
      <c r="B42" s="33">
        <f>If(Actuals!A42=1,0, IF(Actuals!C42="",0,rank(NetScores!B42,NetScores!B$4:B$64,1)))</f>
        <v>0</v>
      </c>
      <c r="C42" s="33">
        <f>If(Actuals!B42=1,0, IF(Actuals!D42="",0,rank(NetScores!C42,NetScores!C$4:C$64,1)))</f>
        <v>0</v>
      </c>
      <c r="D42" s="33">
        <f>If(Actuals!C42=1,0, IF(Actuals!E42="",0,rank(NetScores!D42,NetScores!D$4:D$64,1)))</f>
        <v>0</v>
      </c>
      <c r="E42" s="33">
        <f>If(Actuals!D42=1,0, IF(Actuals!F42="",0,rank(NetScores!E42,NetScores!E$4:E$64,1)))</f>
        <v>0</v>
      </c>
      <c r="F42" s="33">
        <f>If(Actuals!E42=1,0, IF(Actuals!G42="",0,rank(NetScores!F42,NetScores!F$4:F$64,1)))</f>
        <v>0</v>
      </c>
      <c r="G42" s="33">
        <f>If(Actuals!F42=1,0, IF(Actuals!H42="",0,rank(NetScores!G42,NetScores!G$4:G$64,1)))</f>
        <v>0</v>
      </c>
      <c r="H42" s="33">
        <f>If(Actuals!G42=1,0, IF(Actuals!I42="",0,rank(NetScores!H42,NetScores!H$4:H$64,1)))</f>
        <v>0</v>
      </c>
      <c r="I42" s="33">
        <f>If(Actuals!H42=1,0, IF(Actuals!J42="",0,rank(NetScores!I42,NetScores!I$4:I$64,1)))</f>
        <v>0</v>
      </c>
      <c r="J42" s="33">
        <f>If(Actuals!I42=1,0, IF(Actuals!K42="",0,rank(NetScores!J42,NetScores!J$4:J$64,1)))</f>
        <v>0</v>
      </c>
      <c r="K42" s="33">
        <f>If(Actuals!J42=1,0, IF(Actuals!L42="",0,rank(NetScores!K42,NetScores!K$4:K$64,1)))</f>
        <v>0</v>
      </c>
      <c r="L42" s="33">
        <f>If(Actuals!K42=1,0, IF(Actuals!M42="",0,rank(NetScores!L42,NetScores!L$4:L$64,1)))</f>
        <v>0</v>
      </c>
      <c r="M42" s="33">
        <f>If(Actuals!L42=1,0, IF(Actuals!N42="",0,rank(NetScores!M42,NetScores!M$4:M$64,1)))</f>
        <v>0</v>
      </c>
      <c r="N42" s="33">
        <f>If(Actuals!M42=1,0, IF(Actuals!O42="",0,rank(NetScores!N42,NetScores!N$4:N$64,1)))</f>
        <v>0</v>
      </c>
      <c r="O42" s="33">
        <f>If(Actuals!N42=1,0, IF(Actuals!P42="",0,rank(NetScores!O42,NetScores!O$4:O$64,1)))</f>
        <v>0</v>
      </c>
      <c r="P42" s="33">
        <f>If(Actuals!O42=1,0, IF(Actuals!Q42="",0,rank(NetScores!P42,NetScores!P$4:P$64,1)))</f>
        <v>0</v>
      </c>
      <c r="Q42" s="33">
        <f>If(Actuals!P42=1,0, IF(Actuals!R42="",0,rank(NetScores!Q42,NetScores!Q$4:Q$64,1)))</f>
        <v>0</v>
      </c>
      <c r="R42" s="20">
        <f t="shared" si="1"/>
        <v>0</v>
      </c>
      <c r="S42" s="20">
        <f t="shared" si="2"/>
        <v>0</v>
      </c>
      <c r="T42" s="20">
        <f t="shared" si="3"/>
        <v>0</v>
      </c>
    </row>
    <row r="43">
      <c r="A43" s="26" t="str">
        <f>Actuals!B43</f>
        <v>Tommy</v>
      </c>
      <c r="B43" s="33">
        <f>If(Actuals!A43=1,0, IF(Actuals!C43="",0,rank(NetScores!B43,NetScores!B$4:B$64,1)))</f>
        <v>0</v>
      </c>
      <c r="C43" s="33">
        <f>If(Actuals!B43=1,0, IF(Actuals!D43="",0,rank(NetScores!C43,NetScores!C$4:C$64,1)))</f>
        <v>0</v>
      </c>
      <c r="D43" s="33">
        <f>If(Actuals!C43=1,0, IF(Actuals!E43="",0,rank(NetScores!D43,NetScores!D$4:D$64,1)))</f>
        <v>0</v>
      </c>
      <c r="E43" s="33">
        <f>If(Actuals!D43=1,0, IF(Actuals!F43="",0,rank(NetScores!E43,NetScores!E$4:E$64,1)))</f>
        <v>0</v>
      </c>
      <c r="F43" s="33">
        <f>If(Actuals!E43=1,0, IF(Actuals!G43="",0,rank(NetScores!F43,NetScores!F$4:F$64,1)))</f>
        <v>0</v>
      </c>
      <c r="G43" s="33">
        <f>If(Actuals!F43=1,0, IF(Actuals!H43="",0,rank(NetScores!G43,NetScores!G$4:G$64,1)))</f>
        <v>0</v>
      </c>
      <c r="H43" s="33">
        <f>If(Actuals!G43=1,0, IF(Actuals!I43="",0,rank(NetScores!H43,NetScores!H$4:H$64,1)))</f>
        <v>0</v>
      </c>
      <c r="I43" s="33">
        <f>If(Actuals!H43=1,0, IF(Actuals!J43="",0,rank(NetScores!I43,NetScores!I$4:I$64,1)))</f>
        <v>0</v>
      </c>
      <c r="J43" s="33">
        <f>If(Actuals!I43=1,0, IF(Actuals!K43="",0,rank(NetScores!J43,NetScores!J$4:J$64,1)))</f>
        <v>0</v>
      </c>
      <c r="K43" s="33">
        <f>If(Actuals!J43=1,0, IF(Actuals!L43="",0,rank(NetScores!K43,NetScores!K$4:K$64,1)))</f>
        <v>0</v>
      </c>
      <c r="L43" s="33">
        <f>If(Actuals!K43=1,0, IF(Actuals!M43="",0,rank(NetScores!L43,NetScores!L$4:L$64,1)))</f>
        <v>0</v>
      </c>
      <c r="M43" s="33">
        <f>If(Actuals!L43=1,0, IF(Actuals!N43="",0,rank(NetScores!M43,NetScores!M$4:M$64,1)))</f>
        <v>0</v>
      </c>
      <c r="N43" s="33">
        <f>If(Actuals!M43=1,0, IF(Actuals!O43="",0,rank(NetScores!N43,NetScores!N$4:N$64,1)))</f>
        <v>0</v>
      </c>
      <c r="O43" s="33">
        <f>If(Actuals!N43=1,0, IF(Actuals!P43="",0,rank(NetScores!O43,NetScores!O$4:O$64,1)))</f>
        <v>0</v>
      </c>
      <c r="P43" s="33">
        <f>If(Actuals!O43=1,0, IF(Actuals!Q43="",0,rank(NetScores!P43,NetScores!P$4:P$64,1)))</f>
        <v>0</v>
      </c>
      <c r="Q43" s="33">
        <f>If(Actuals!P43=1,0, IF(Actuals!R43="",0,rank(NetScores!Q43,NetScores!Q$4:Q$64,1)))</f>
        <v>0</v>
      </c>
      <c r="R43" s="20">
        <f t="shared" si="1"/>
        <v>0</v>
      </c>
      <c r="S43" s="20">
        <f t="shared" si="2"/>
        <v>0</v>
      </c>
      <c r="T43" s="20">
        <f t="shared" si="3"/>
        <v>0</v>
      </c>
    </row>
    <row r="44">
      <c r="A44" s="26" t="str">
        <f>Actuals!B44</f>
        <v>Walt S</v>
      </c>
      <c r="B44" s="33">
        <f>If(Actuals!A44=1,0, IF(Actuals!C44="",0,rank(NetScores!B44,NetScores!B$4:B$64,1)))</f>
        <v>6</v>
      </c>
      <c r="C44" s="33">
        <f>If(Actuals!B44=1,0, IF(Actuals!D44="",0,rank(NetScores!C44,NetScores!C$4:C$64,1)))</f>
        <v>0</v>
      </c>
      <c r="D44" s="33">
        <f>If(Actuals!C44=1,0, IF(Actuals!E44="",0,rank(NetScores!D44,NetScores!D$4:D$64,1)))</f>
        <v>3</v>
      </c>
      <c r="E44" s="33">
        <f>If(Actuals!D44=1,0, IF(Actuals!F44="",0,rank(NetScores!E44,NetScores!E$4:E$64,1)))</f>
        <v>0</v>
      </c>
      <c r="F44" s="33">
        <f>If(Actuals!E44=1,0, IF(Actuals!G44="",0,rank(NetScores!F44,NetScores!F$4:F$64,1)))</f>
        <v>0</v>
      </c>
      <c r="G44" s="33">
        <f>If(Actuals!F44=1,0, IF(Actuals!H44="",0,rank(NetScores!G44,NetScores!G$4:G$64,1)))</f>
        <v>0</v>
      </c>
      <c r="H44" s="33">
        <f>If(Actuals!G44=1,0, IF(Actuals!I44="",0,rank(NetScores!H44,NetScores!H$4:H$64,1)))</f>
        <v>0</v>
      </c>
      <c r="I44" s="33">
        <f>If(Actuals!H44=1,0, IF(Actuals!J44="",0,rank(NetScores!I44,NetScores!I$4:I$64,1)))</f>
        <v>0</v>
      </c>
      <c r="J44" s="33">
        <f>If(Actuals!I44=1,0, IF(Actuals!K44="",0,rank(NetScores!J44,NetScores!J$4:J$64,1)))</f>
        <v>0</v>
      </c>
      <c r="K44" s="33">
        <f>If(Actuals!J44=1,0, IF(Actuals!L44="",0,rank(NetScores!K44,NetScores!K$4:K$64,1)))</f>
        <v>0</v>
      </c>
      <c r="L44" s="33">
        <f>If(Actuals!K44=1,0, IF(Actuals!M44="",0,rank(NetScores!L44,NetScores!L$4:L$64,1)))</f>
        <v>0</v>
      </c>
      <c r="M44" s="33">
        <f>If(Actuals!L44=1,0, IF(Actuals!N44="",0,rank(NetScores!M44,NetScores!M$4:M$64,1)))</f>
        <v>0</v>
      </c>
      <c r="N44" s="33">
        <f>If(Actuals!M44=1,0, IF(Actuals!O44="",0,rank(NetScores!N44,NetScores!N$4:N$64,1)))</f>
        <v>0</v>
      </c>
      <c r="O44" s="33">
        <f>If(Actuals!N44=1,0, IF(Actuals!P44="",0,rank(NetScores!O44,NetScores!O$4:O$64,1)))</f>
        <v>0</v>
      </c>
      <c r="P44" s="33">
        <f>If(Actuals!O44=1,0, IF(Actuals!Q44="",0,rank(NetScores!P44,NetScores!P$4:P$64,1)))</f>
        <v>0</v>
      </c>
      <c r="Q44" s="33">
        <f>If(Actuals!P44=1,0, IF(Actuals!R44="",0,rank(NetScores!Q44,NetScores!Q$4:Q$64,1)))</f>
        <v>0</v>
      </c>
      <c r="R44" s="20">
        <f t="shared" si="1"/>
        <v>0</v>
      </c>
      <c r="S44" s="20">
        <f t="shared" si="2"/>
        <v>1</v>
      </c>
      <c r="T44" s="20">
        <f t="shared" si="3"/>
        <v>1</v>
      </c>
    </row>
    <row r="45">
      <c r="A45" s="26" t="str">
        <f>Actuals!B45</f>
        <v>James D</v>
      </c>
      <c r="B45" s="33">
        <f>If(Actuals!A45=1,0, IF(Actuals!C45="",0,rank(NetScores!B45,NetScores!B$4:B$64,1)))</f>
        <v>0</v>
      </c>
      <c r="C45" s="33">
        <f>If(Actuals!B45=1,0, IF(Actuals!D45="",0,rank(NetScores!C45,NetScores!C$4:C$64,1)))</f>
        <v>0</v>
      </c>
      <c r="D45" s="33">
        <f>If(Actuals!C45=1,0, IF(Actuals!E45="",0,rank(NetScores!D45,NetScores!D$4:D$64,1)))</f>
        <v>0</v>
      </c>
      <c r="E45" s="33">
        <f>If(Actuals!D45=1,0, IF(Actuals!F45="",0,rank(NetScores!E45,NetScores!E$4:E$64,1)))</f>
        <v>0</v>
      </c>
      <c r="F45" s="33">
        <f>If(Actuals!E45=1,0, IF(Actuals!G45="",0,rank(NetScores!F45,NetScores!F$4:F$64,1)))</f>
        <v>0</v>
      </c>
      <c r="G45" s="33">
        <f>If(Actuals!F45=1,0, IF(Actuals!H45="",0,rank(NetScores!G45,NetScores!G$4:G$64,1)))</f>
        <v>0</v>
      </c>
      <c r="H45" s="33">
        <f>If(Actuals!G45=1,0, IF(Actuals!I45="",0,rank(NetScores!H45,NetScores!H$4:H$64,1)))</f>
        <v>0</v>
      </c>
      <c r="I45" s="33">
        <f>If(Actuals!H45=1,0, IF(Actuals!J45="",0,rank(NetScores!I45,NetScores!I$4:I$64,1)))</f>
        <v>0</v>
      </c>
      <c r="J45" s="33">
        <f>If(Actuals!I45=1,0, IF(Actuals!K45="",0,rank(NetScores!J45,NetScores!J$4:J$64,1)))</f>
        <v>0</v>
      </c>
      <c r="K45" s="33">
        <f>If(Actuals!J45=1,0, IF(Actuals!L45="",0,rank(NetScores!K45,NetScores!K$4:K$64,1)))</f>
        <v>0</v>
      </c>
      <c r="L45" s="33">
        <f>If(Actuals!K45=1,0, IF(Actuals!M45="",0,rank(NetScores!L45,NetScores!L$4:L$64,1)))</f>
        <v>0</v>
      </c>
      <c r="M45" s="33">
        <f>If(Actuals!L45=1,0, IF(Actuals!N45="",0,rank(NetScores!M45,NetScores!M$4:M$64,1)))</f>
        <v>0</v>
      </c>
      <c r="N45" s="33">
        <f>If(Actuals!M45=1,0, IF(Actuals!O45="",0,rank(NetScores!N45,NetScores!N$4:N$64,1)))</f>
        <v>0</v>
      </c>
      <c r="O45" s="33">
        <f>If(Actuals!N45=1,0, IF(Actuals!P45="",0,rank(NetScores!O45,NetScores!O$4:O$64,1)))</f>
        <v>0</v>
      </c>
      <c r="P45" s="33">
        <f>If(Actuals!O45=1,0, IF(Actuals!Q45="",0,rank(NetScores!P45,NetScores!P$4:P$64,1)))</f>
        <v>0</v>
      </c>
      <c r="Q45" s="33">
        <f>If(Actuals!P45=1,0, IF(Actuals!R45="",0,rank(NetScores!Q45,NetScores!Q$4:Q$64,1)))</f>
        <v>0</v>
      </c>
      <c r="R45" s="20">
        <f t="shared" si="1"/>
        <v>0</v>
      </c>
      <c r="S45" s="20">
        <f t="shared" si="2"/>
        <v>0</v>
      </c>
      <c r="T45" s="20">
        <f t="shared" si="3"/>
        <v>0</v>
      </c>
    </row>
    <row r="46">
      <c r="A46" s="26" t="str">
        <f>Actuals!B46</f>
        <v>Josh Norris</v>
      </c>
      <c r="B46" s="33">
        <f>If(Actuals!A46=1,0, IF(Actuals!C46="",0,rank(NetScores!B46,NetScores!B$4:B$64,1)))</f>
        <v>0</v>
      </c>
      <c r="C46" s="33">
        <f>If(Actuals!B46=1,0, IF(Actuals!D46="",0,rank(NetScores!C46,NetScores!C$4:C$64,1)))</f>
        <v>0</v>
      </c>
      <c r="D46" s="33">
        <f>If(Actuals!C46=1,0, IF(Actuals!E46="",0,rank(NetScores!D46,NetScores!D$4:D$64,1)))</f>
        <v>0</v>
      </c>
      <c r="E46" s="33">
        <f>If(Actuals!D46=1,0, IF(Actuals!F46="",0,rank(NetScores!E46,NetScores!E$4:E$64,1)))</f>
        <v>0</v>
      </c>
      <c r="F46" s="33">
        <f>If(Actuals!E46=1,0, IF(Actuals!G46="",0,rank(NetScores!F46,NetScores!F$4:F$64,1)))</f>
        <v>0</v>
      </c>
      <c r="G46" s="33">
        <f>If(Actuals!F46=1,0, IF(Actuals!H46="",0,rank(NetScores!G46,NetScores!G$4:G$64,1)))</f>
        <v>0</v>
      </c>
      <c r="H46" s="33">
        <f>If(Actuals!G46=1,0, IF(Actuals!I46="",0,rank(NetScores!H46,NetScores!H$4:H$64,1)))</f>
        <v>0</v>
      </c>
      <c r="I46" s="33">
        <f>If(Actuals!H46=1,0, IF(Actuals!J46="",0,rank(NetScores!I46,NetScores!I$4:I$64,1)))</f>
        <v>0</v>
      </c>
      <c r="J46" s="33">
        <f>If(Actuals!I46=1,0, IF(Actuals!K46="",0,rank(NetScores!J46,NetScores!J$4:J$64,1)))</f>
        <v>0</v>
      </c>
      <c r="K46" s="33">
        <f>If(Actuals!J46=1,0, IF(Actuals!L46="",0,rank(NetScores!K46,NetScores!K$4:K$64,1)))</f>
        <v>0</v>
      </c>
      <c r="L46" s="33">
        <f>If(Actuals!K46=1,0, IF(Actuals!M46="",0,rank(NetScores!L46,NetScores!L$4:L$64,1)))</f>
        <v>0</v>
      </c>
      <c r="M46" s="33">
        <f>If(Actuals!L46=1,0, IF(Actuals!N46="",0,rank(NetScores!M46,NetScores!M$4:M$64,1)))</f>
        <v>0</v>
      </c>
      <c r="N46" s="33">
        <f>If(Actuals!M46=1,0, IF(Actuals!O46="",0,rank(NetScores!N46,NetScores!N$4:N$64,1)))</f>
        <v>0</v>
      </c>
      <c r="O46" s="33">
        <f>If(Actuals!N46=1,0, IF(Actuals!P46="",0,rank(NetScores!O46,NetScores!O$4:O$64,1)))</f>
        <v>0</v>
      </c>
      <c r="P46" s="33">
        <f>If(Actuals!O46=1,0, IF(Actuals!Q46="",0,rank(NetScores!P46,NetScores!P$4:P$64,1)))</f>
        <v>0</v>
      </c>
      <c r="Q46" s="33">
        <f>If(Actuals!P46=1,0, IF(Actuals!R46="",0,rank(NetScores!Q46,NetScores!Q$4:Q$64,1)))</f>
        <v>0</v>
      </c>
      <c r="R46" s="20">
        <f t="shared" si="1"/>
        <v>0</v>
      </c>
      <c r="S46" s="20">
        <f t="shared" si="2"/>
        <v>0</v>
      </c>
      <c r="T46" s="20">
        <f t="shared" si="3"/>
        <v>0</v>
      </c>
    </row>
    <row r="47">
      <c r="A47" s="26" t="str">
        <f>Actuals!B47</f>
        <v>Simon Sr</v>
      </c>
      <c r="B47" s="33">
        <f>If(Actuals!A47=1,0, IF(Actuals!C47="",0,rank(NetScores!B47,NetScores!B$4:B$64,1)))</f>
        <v>0</v>
      </c>
      <c r="C47" s="33">
        <f>If(Actuals!B47=1,0, IF(Actuals!D47="",0,rank(NetScores!C47,NetScores!C$4:C$64,1)))</f>
        <v>0</v>
      </c>
      <c r="D47" s="33">
        <f>If(Actuals!C47=1,0, IF(Actuals!E47="",0,rank(NetScores!D47,NetScores!D$4:D$64,1)))</f>
        <v>0</v>
      </c>
      <c r="E47" s="33">
        <f>If(Actuals!D47=1,0, IF(Actuals!F47="",0,rank(NetScores!E47,NetScores!E$4:E$64,1)))</f>
        <v>0</v>
      </c>
      <c r="F47" s="33">
        <f>If(Actuals!E47=1,0, IF(Actuals!G47="",0,rank(NetScores!F47,NetScores!F$4:F$64,1)))</f>
        <v>0</v>
      </c>
      <c r="G47" s="33">
        <f>If(Actuals!F47=1,0, IF(Actuals!H47="",0,rank(NetScores!G47,NetScores!G$4:G$64,1)))</f>
        <v>0</v>
      </c>
      <c r="H47" s="33">
        <f>If(Actuals!G47=1,0, IF(Actuals!I47="",0,rank(NetScores!H47,NetScores!H$4:H$64,1)))</f>
        <v>0</v>
      </c>
      <c r="I47" s="33">
        <f>If(Actuals!H47=1,0, IF(Actuals!J47="",0,rank(NetScores!I47,NetScores!I$4:I$64,1)))</f>
        <v>0</v>
      </c>
      <c r="J47" s="33">
        <f>If(Actuals!I47=1,0, IF(Actuals!K47="",0,rank(NetScores!J47,NetScores!J$4:J$64,1)))</f>
        <v>0</v>
      </c>
      <c r="K47" s="33">
        <f>If(Actuals!J47=1,0, IF(Actuals!L47="",0,rank(NetScores!K47,NetScores!K$4:K$64,1)))</f>
        <v>0</v>
      </c>
      <c r="L47" s="33">
        <f>If(Actuals!K47=1,0, IF(Actuals!M47="",0,rank(NetScores!L47,NetScores!L$4:L$64,1)))</f>
        <v>0</v>
      </c>
      <c r="M47" s="33">
        <f>If(Actuals!L47=1,0, IF(Actuals!N47="",0,rank(NetScores!M47,NetScores!M$4:M$64,1)))</f>
        <v>0</v>
      </c>
      <c r="N47" s="33">
        <f>If(Actuals!M47=1,0, IF(Actuals!O47="",0,rank(NetScores!N47,NetScores!N$4:N$64,1)))</f>
        <v>0</v>
      </c>
      <c r="O47" s="33">
        <f>If(Actuals!N47=1,0, IF(Actuals!P47="",0,rank(NetScores!O47,NetScores!O$4:O$64,1)))</f>
        <v>0</v>
      </c>
      <c r="P47" s="33">
        <f>If(Actuals!O47=1,0, IF(Actuals!Q47="",0,rank(NetScores!P47,NetScores!P$4:P$64,1)))</f>
        <v>0</v>
      </c>
      <c r="Q47" s="33">
        <f>If(Actuals!P47=1,0, IF(Actuals!R47="",0,rank(NetScores!Q47,NetScores!Q$4:Q$64,1)))</f>
        <v>0</v>
      </c>
      <c r="R47" s="20">
        <f t="shared" si="1"/>
        <v>0</v>
      </c>
      <c r="S47" s="20">
        <f t="shared" si="2"/>
        <v>0</v>
      </c>
      <c r="T47" s="20">
        <f t="shared" si="3"/>
        <v>0</v>
      </c>
    </row>
    <row r="48">
      <c r="A48" s="26" t="str">
        <f>Actuals!B48</f>
        <v>Francisco</v>
      </c>
      <c r="B48" s="33">
        <f>If(Actuals!A48=1,0, IF(Actuals!C48="",0,rank(NetScores!B48,NetScores!B$4:B$64,1)))</f>
        <v>9</v>
      </c>
      <c r="C48" s="33">
        <f>If(Actuals!B48=1,0, IF(Actuals!D48="",0,rank(NetScores!C48,NetScores!C$4:C$64,1)))</f>
        <v>4</v>
      </c>
      <c r="D48" s="33">
        <f>If(Actuals!C48=1,0, IF(Actuals!E48="",0,rank(NetScores!D48,NetScores!D$4:D$64,1)))</f>
        <v>0</v>
      </c>
      <c r="E48" s="33">
        <f>If(Actuals!D48=1,0, IF(Actuals!F48="",0,rank(NetScores!E48,NetScores!E$4:E$64,1)))</f>
        <v>0</v>
      </c>
      <c r="F48" s="33">
        <f>If(Actuals!E48=1,0, IF(Actuals!G48="",0,rank(NetScores!F48,NetScores!F$4:F$64,1)))</f>
        <v>0</v>
      </c>
      <c r="G48" s="33">
        <f>If(Actuals!F48=1,0, IF(Actuals!H48="",0,rank(NetScores!G48,NetScores!G$4:G$64,1)))</f>
        <v>0</v>
      </c>
      <c r="H48" s="33">
        <f>If(Actuals!G48=1,0, IF(Actuals!I48="",0,rank(NetScores!H48,NetScores!H$4:H$64,1)))</f>
        <v>0</v>
      </c>
      <c r="I48" s="33">
        <f>If(Actuals!H48=1,0, IF(Actuals!J48="",0,rank(NetScores!I48,NetScores!I$4:I$64,1)))</f>
        <v>0</v>
      </c>
      <c r="J48" s="33">
        <f>If(Actuals!I48=1,0, IF(Actuals!K48="",0,rank(NetScores!J48,NetScores!J$4:J$64,1)))</f>
        <v>0</v>
      </c>
      <c r="K48" s="33">
        <f>If(Actuals!J48=1,0, IF(Actuals!L48="",0,rank(NetScores!K48,NetScores!K$4:K$64,1)))</f>
        <v>0</v>
      </c>
      <c r="L48" s="33">
        <f>If(Actuals!K48=1,0, IF(Actuals!M48="",0,rank(NetScores!L48,NetScores!L$4:L$64,1)))</f>
        <v>0</v>
      </c>
      <c r="M48" s="33">
        <f>If(Actuals!L48=1,0, IF(Actuals!N48="",0,rank(NetScores!M48,NetScores!M$4:M$64,1)))</f>
        <v>0</v>
      </c>
      <c r="N48" s="33">
        <f>If(Actuals!M48=1,0, IF(Actuals!O48="",0,rank(NetScores!N48,NetScores!N$4:N$64,1)))</f>
        <v>0</v>
      </c>
      <c r="O48" s="33">
        <f>If(Actuals!N48=1,0, IF(Actuals!P48="",0,rank(NetScores!O48,NetScores!O$4:O$64,1)))</f>
        <v>0</v>
      </c>
      <c r="P48" s="33">
        <f>If(Actuals!O48=1,0, IF(Actuals!Q48="",0,rank(NetScores!P48,NetScores!P$4:P$64,1)))</f>
        <v>0</v>
      </c>
      <c r="Q48" s="33">
        <f>If(Actuals!P48=1,0, IF(Actuals!R48="",0,rank(NetScores!Q48,NetScores!Q$4:Q$64,1)))</f>
        <v>0</v>
      </c>
      <c r="R48" s="20">
        <f t="shared" si="1"/>
        <v>0</v>
      </c>
      <c r="S48" s="20">
        <f t="shared" si="2"/>
        <v>0</v>
      </c>
      <c r="T48" s="20">
        <f t="shared" si="3"/>
        <v>1</v>
      </c>
    </row>
    <row r="49">
      <c r="A49" s="26" t="str">
        <f>Actuals!B49</f>
        <v>Cam King</v>
      </c>
      <c r="B49" s="33">
        <f>If(Actuals!A49=1,0, IF(Actuals!C49="",0,rank(NetScores!B49,NetScores!B$4:B$64,1)))</f>
        <v>3</v>
      </c>
      <c r="C49" s="33">
        <f>If(Actuals!B49=1,0, IF(Actuals!D49="",0,rank(NetScores!C49,NetScores!C$4:C$64,1)))</f>
        <v>6</v>
      </c>
      <c r="D49" s="33">
        <f>If(Actuals!C49=1,0, IF(Actuals!E49="",0,rank(NetScores!D49,NetScores!D$4:D$64,1)))</f>
        <v>7</v>
      </c>
      <c r="E49" s="33">
        <f>If(Actuals!D49=1,0, IF(Actuals!F49="",0,rank(NetScores!E49,NetScores!E$4:E$64,1)))</f>
        <v>0</v>
      </c>
      <c r="F49" s="33">
        <f>If(Actuals!E49=1,0, IF(Actuals!G49="",0,rank(NetScores!F49,NetScores!F$4:F$64,1)))</f>
        <v>0</v>
      </c>
      <c r="G49" s="33">
        <f>If(Actuals!F49=1,0, IF(Actuals!H49="",0,rank(NetScores!G49,NetScores!G$4:G$64,1)))</f>
        <v>0</v>
      </c>
      <c r="H49" s="33">
        <f>If(Actuals!G49=1,0, IF(Actuals!I49="",0,rank(NetScores!H49,NetScores!H$4:H$64,1)))</f>
        <v>0</v>
      </c>
      <c r="I49" s="33">
        <f>If(Actuals!H49=1,0, IF(Actuals!J49="",0,rank(NetScores!I49,NetScores!I$4:I$64,1)))</f>
        <v>0</v>
      </c>
      <c r="J49" s="33">
        <f>If(Actuals!I49=1,0, IF(Actuals!K49="",0,rank(NetScores!J49,NetScores!J$4:J$64,1)))</f>
        <v>0</v>
      </c>
      <c r="K49" s="33">
        <f>If(Actuals!J49=1,0, IF(Actuals!L49="",0,rank(NetScores!K49,NetScores!K$4:K$64,1)))</f>
        <v>0</v>
      </c>
      <c r="L49" s="33">
        <f>If(Actuals!K49=1,0, IF(Actuals!M49="",0,rank(NetScores!L49,NetScores!L$4:L$64,1)))</f>
        <v>0</v>
      </c>
      <c r="M49" s="33">
        <f>If(Actuals!L49=1,0, IF(Actuals!N49="",0,rank(NetScores!M49,NetScores!M$4:M$64,1)))</f>
        <v>0</v>
      </c>
      <c r="N49" s="33">
        <f>If(Actuals!M49=1,0, IF(Actuals!O49="",0,rank(NetScores!N49,NetScores!N$4:N$64,1)))</f>
        <v>0</v>
      </c>
      <c r="O49" s="33">
        <f>If(Actuals!N49=1,0, IF(Actuals!P49="",0,rank(NetScores!O49,NetScores!O$4:O$64,1)))</f>
        <v>0</v>
      </c>
      <c r="P49" s="33">
        <f>If(Actuals!O49=1,0, IF(Actuals!Q49="",0,rank(NetScores!P49,NetScores!P$4:P$64,1)))</f>
        <v>0</v>
      </c>
      <c r="Q49" s="33">
        <f>If(Actuals!P49=1,0, IF(Actuals!R49="",0,rank(NetScores!Q49,NetScores!Q$4:Q$64,1)))</f>
        <v>0</v>
      </c>
      <c r="R49" s="20">
        <f t="shared" si="1"/>
        <v>0</v>
      </c>
      <c r="S49" s="20">
        <f t="shared" si="2"/>
        <v>1</v>
      </c>
      <c r="T49" s="20">
        <f t="shared" si="3"/>
        <v>1</v>
      </c>
    </row>
    <row r="50">
      <c r="A50" s="26" t="str">
        <f>Actuals!B50</f>
        <v>Dan K</v>
      </c>
      <c r="B50" s="33">
        <f>If(Actuals!A50=1,0, IF(Actuals!C50="",0,rank(NetScores!B50,NetScores!B$4:B$64,1)))</f>
        <v>9</v>
      </c>
      <c r="C50" s="33">
        <f>If(Actuals!B50=1,0, IF(Actuals!D50="",0,rank(NetScores!C50,NetScores!C$4:C$64,1)))</f>
        <v>0</v>
      </c>
      <c r="D50" s="33">
        <f>If(Actuals!C50=1,0, IF(Actuals!E50="",0,rank(NetScores!D50,NetScores!D$4:D$64,1)))</f>
        <v>6</v>
      </c>
      <c r="E50" s="33">
        <f>If(Actuals!D50=1,0, IF(Actuals!F50="",0,rank(NetScores!E50,NetScores!E$4:E$64,1)))</f>
        <v>0</v>
      </c>
      <c r="F50" s="33">
        <f>If(Actuals!E50=1,0, IF(Actuals!G50="",0,rank(NetScores!F50,NetScores!F$4:F$64,1)))</f>
        <v>0</v>
      </c>
      <c r="G50" s="33">
        <f>If(Actuals!F50=1,0, IF(Actuals!H50="",0,rank(NetScores!G50,NetScores!G$4:G$64,1)))</f>
        <v>0</v>
      </c>
      <c r="H50" s="33">
        <f>If(Actuals!G50=1,0, IF(Actuals!I50="",0,rank(NetScores!H50,NetScores!H$4:H$64,1)))</f>
        <v>0</v>
      </c>
      <c r="I50" s="33">
        <f>If(Actuals!H50=1,0, IF(Actuals!J50="",0,rank(NetScores!I50,NetScores!I$4:I$64,1)))</f>
        <v>0</v>
      </c>
      <c r="J50" s="33">
        <f>If(Actuals!I50=1,0, IF(Actuals!K50="",0,rank(NetScores!J50,NetScores!J$4:J$64,1)))</f>
        <v>0</v>
      </c>
      <c r="K50" s="33">
        <f>If(Actuals!J50=1,0, IF(Actuals!L50="",0,rank(NetScores!K50,NetScores!K$4:K$64,1)))</f>
        <v>0</v>
      </c>
      <c r="L50" s="33">
        <f>If(Actuals!K50=1,0, IF(Actuals!M50="",0,rank(NetScores!L50,NetScores!L$4:L$64,1)))</f>
        <v>0</v>
      </c>
      <c r="M50" s="33">
        <f>If(Actuals!L50=1,0, IF(Actuals!N50="",0,rank(NetScores!M50,NetScores!M$4:M$64,1)))</f>
        <v>0</v>
      </c>
      <c r="N50" s="33">
        <f>If(Actuals!M50=1,0, IF(Actuals!O50="",0,rank(NetScores!N50,NetScores!N$4:N$64,1)))</f>
        <v>0</v>
      </c>
      <c r="O50" s="33">
        <f>If(Actuals!N50=1,0, IF(Actuals!P50="",0,rank(NetScores!O50,NetScores!O$4:O$64,1)))</f>
        <v>0</v>
      </c>
      <c r="P50" s="33">
        <f>If(Actuals!O50=1,0, IF(Actuals!Q50="",0,rank(NetScores!P50,NetScores!P$4:P$64,1)))</f>
        <v>0</v>
      </c>
      <c r="Q50" s="33">
        <f>If(Actuals!P50=1,0, IF(Actuals!R50="",0,rank(NetScores!Q50,NetScores!Q$4:Q$64,1)))</f>
        <v>0</v>
      </c>
      <c r="R50" s="20">
        <f t="shared" si="1"/>
        <v>0</v>
      </c>
      <c r="S50" s="20">
        <f t="shared" si="2"/>
        <v>0</v>
      </c>
      <c r="T50" s="20">
        <f t="shared" si="3"/>
        <v>0</v>
      </c>
    </row>
    <row r="51">
      <c r="A51" s="26" t="str">
        <f>Actuals!B51</f>
        <v>Davis</v>
      </c>
      <c r="B51" s="33">
        <f>If(Actuals!A51=1,0, IF(Actuals!C51="",0,rank(NetScores!B51,NetScores!B$4:B$64,1)))</f>
        <v>0</v>
      </c>
      <c r="C51" s="33">
        <f>If(Actuals!B51=1,0, IF(Actuals!D51="",0,rank(NetScores!C51,NetScores!C$4:C$64,1)))</f>
        <v>0</v>
      </c>
      <c r="D51" s="33">
        <f>If(Actuals!C51=1,0, IF(Actuals!E51="",0,rank(NetScores!D51,NetScores!D$4:D$64,1)))</f>
        <v>0</v>
      </c>
      <c r="E51" s="33">
        <f>If(Actuals!D51=1,0, IF(Actuals!F51="",0,rank(NetScores!E51,NetScores!E$4:E$64,1)))</f>
        <v>0</v>
      </c>
      <c r="F51" s="33">
        <f>If(Actuals!E51=1,0, IF(Actuals!G51="",0,rank(NetScores!F51,NetScores!F$4:F$64,1)))</f>
        <v>0</v>
      </c>
      <c r="G51" s="33">
        <f>If(Actuals!F51=1,0, IF(Actuals!H51="",0,rank(NetScores!G51,NetScores!G$4:G$64,1)))</f>
        <v>0</v>
      </c>
      <c r="H51" s="33">
        <f>If(Actuals!G51=1,0, IF(Actuals!I51="",0,rank(NetScores!H51,NetScores!H$4:H$64,1)))</f>
        <v>0</v>
      </c>
      <c r="I51" s="33">
        <f>If(Actuals!H51=1,0, IF(Actuals!J51="",0,rank(NetScores!I51,NetScores!I$4:I$64,1)))</f>
        <v>0</v>
      </c>
      <c r="J51" s="33">
        <f>If(Actuals!I51=1,0, IF(Actuals!K51="",0,rank(NetScores!J51,NetScores!J$4:J$64,1)))</f>
        <v>0</v>
      </c>
      <c r="K51" s="33">
        <f>If(Actuals!J51=1,0, IF(Actuals!L51="",0,rank(NetScores!K51,NetScores!K$4:K$64,1)))</f>
        <v>0</v>
      </c>
      <c r="L51" s="33">
        <f>If(Actuals!K51=1,0, IF(Actuals!M51="",0,rank(NetScores!L51,NetScores!L$4:L$64,1)))</f>
        <v>0</v>
      </c>
      <c r="M51" s="33">
        <f>If(Actuals!L51=1,0, IF(Actuals!N51="",0,rank(NetScores!M51,NetScores!M$4:M$64,1)))</f>
        <v>0</v>
      </c>
      <c r="N51" s="33">
        <f>If(Actuals!M51=1,0, IF(Actuals!O51="",0,rank(NetScores!N51,NetScores!N$4:N$64,1)))</f>
        <v>0</v>
      </c>
      <c r="O51" s="33">
        <f>If(Actuals!N51=1,0, IF(Actuals!P51="",0,rank(NetScores!O51,NetScores!O$4:O$64,1)))</f>
        <v>0</v>
      </c>
      <c r="P51" s="33">
        <f>If(Actuals!O51=1,0, IF(Actuals!Q51="",0,rank(NetScores!P51,NetScores!P$4:P$64,1)))</f>
        <v>0</v>
      </c>
      <c r="Q51" s="33">
        <f>If(Actuals!P51=1,0, IF(Actuals!R51="",0,rank(NetScores!Q51,NetScores!Q$4:Q$64,1)))</f>
        <v>0</v>
      </c>
      <c r="R51" s="20">
        <f t="shared" si="1"/>
        <v>0</v>
      </c>
      <c r="S51" s="20">
        <f t="shared" si="2"/>
        <v>0</v>
      </c>
      <c r="T51" s="20">
        <f t="shared" si="3"/>
        <v>0</v>
      </c>
    </row>
    <row r="52">
      <c r="A52" s="26" t="str">
        <f>Actuals!B52</f>
        <v>Amanda C</v>
      </c>
      <c r="B52" s="33">
        <f>If(Actuals!A52=1,0, IF(Actuals!C52="",0,rank(NetScores!B52,NetScores!B$4:B$64,1)))</f>
        <v>0</v>
      </c>
      <c r="C52" s="33">
        <f>If(Actuals!B52=1,0, IF(Actuals!D52="",0,rank(NetScores!C52,NetScores!C$4:C$64,1)))</f>
        <v>0</v>
      </c>
      <c r="D52" s="33">
        <f>If(Actuals!C52=1,0, IF(Actuals!E52="",0,rank(NetScores!D52,NetScores!D$4:D$64,1)))</f>
        <v>0</v>
      </c>
      <c r="E52" s="33">
        <f>If(Actuals!D52=1,0, IF(Actuals!F52="",0,rank(NetScores!E52,NetScores!E$4:E$64,1)))</f>
        <v>0</v>
      </c>
      <c r="F52" s="33">
        <f>If(Actuals!E52=1,0, IF(Actuals!G52="",0,rank(NetScores!F52,NetScores!F$4:F$64,1)))</f>
        <v>0</v>
      </c>
      <c r="G52" s="33">
        <f>If(Actuals!F52=1,0, IF(Actuals!H52="",0,rank(NetScores!G52,NetScores!G$4:G$64,1)))</f>
        <v>0</v>
      </c>
      <c r="H52" s="33">
        <f>If(Actuals!G52=1,0, IF(Actuals!I52="",0,rank(NetScores!H52,NetScores!H$4:H$64,1)))</f>
        <v>0</v>
      </c>
      <c r="I52" s="33">
        <f>If(Actuals!H52=1,0, IF(Actuals!J52="",0,rank(NetScores!I52,NetScores!I$4:I$64,1)))</f>
        <v>0</v>
      </c>
      <c r="J52" s="33">
        <f>If(Actuals!I52=1,0, IF(Actuals!K52="",0,rank(NetScores!J52,NetScores!J$4:J$64,1)))</f>
        <v>0</v>
      </c>
      <c r="K52" s="33">
        <f>If(Actuals!J52=1,0, IF(Actuals!L52="",0,rank(NetScores!K52,NetScores!K$4:K$64,1)))</f>
        <v>0</v>
      </c>
      <c r="L52" s="33">
        <f>If(Actuals!K52=1,0, IF(Actuals!M52="",0,rank(NetScores!L52,NetScores!L$4:L$64,1)))</f>
        <v>0</v>
      </c>
      <c r="M52" s="33">
        <f>If(Actuals!L52=1,0, IF(Actuals!N52="",0,rank(NetScores!M52,NetScores!M$4:M$64,1)))</f>
        <v>0</v>
      </c>
      <c r="N52" s="33">
        <f>If(Actuals!M52=1,0, IF(Actuals!O52="",0,rank(NetScores!N52,NetScores!N$4:N$64,1)))</f>
        <v>0</v>
      </c>
      <c r="O52" s="33">
        <f>If(Actuals!N52=1,0, IF(Actuals!P52="",0,rank(NetScores!O52,NetScores!O$4:O$64,1)))</f>
        <v>0</v>
      </c>
      <c r="P52" s="33">
        <f>If(Actuals!O52=1,0, IF(Actuals!Q52="",0,rank(NetScores!P52,NetScores!P$4:P$64,1)))</f>
        <v>0</v>
      </c>
      <c r="Q52" s="33">
        <f>If(Actuals!P52=1,0, IF(Actuals!R52="",0,rank(NetScores!Q52,NetScores!Q$4:Q$64,1)))</f>
        <v>0</v>
      </c>
      <c r="R52" s="20">
        <f t="shared" si="1"/>
        <v>0</v>
      </c>
      <c r="S52" s="20">
        <f t="shared" si="2"/>
        <v>0</v>
      </c>
      <c r="T52" s="20">
        <f t="shared" si="3"/>
        <v>0</v>
      </c>
    </row>
    <row r="53">
      <c r="A53" s="26" t="str">
        <f>Actuals!B53</f>
        <v>blank9</v>
      </c>
      <c r="B53" s="33">
        <f>If(Actuals!A53=1,0, IF(Actuals!C53="",0,rank(NetScores!B53,NetScores!B$4:B$64,1)))</f>
        <v>0</v>
      </c>
      <c r="C53" s="33">
        <f>If(Actuals!B53=1,0, IF(Actuals!D53="",0,rank(NetScores!C53,NetScores!C$4:C$64,1)))</f>
        <v>0</v>
      </c>
      <c r="D53" s="33">
        <f>If(Actuals!C53=1,0, IF(Actuals!E53="",0,rank(NetScores!D53,NetScores!D$4:D$64,1)))</f>
        <v>0</v>
      </c>
      <c r="E53" s="33">
        <f>If(Actuals!D53=1,0, IF(Actuals!F53="",0,rank(NetScores!E53,NetScores!E$4:E$64,1)))</f>
        <v>0</v>
      </c>
      <c r="F53" s="33">
        <f>If(Actuals!E53=1,0, IF(Actuals!G53="",0,rank(NetScores!F53,NetScores!F$4:F$64,1)))</f>
        <v>0</v>
      </c>
      <c r="G53" s="33">
        <f>If(Actuals!F53=1,0, IF(Actuals!H53="",0,rank(NetScores!G53,NetScores!G$4:G$64,1)))</f>
        <v>0</v>
      </c>
      <c r="H53" s="33">
        <f>If(Actuals!G53=1,0, IF(Actuals!I53="",0,rank(NetScores!H53,NetScores!H$4:H$64,1)))</f>
        <v>0</v>
      </c>
      <c r="I53" s="33">
        <f>If(Actuals!H53=1,0, IF(Actuals!J53="",0,rank(NetScores!I53,NetScores!I$4:I$64,1)))</f>
        <v>0</v>
      </c>
      <c r="J53" s="33">
        <f>If(Actuals!I53=1,0, IF(Actuals!K53="",0,rank(NetScores!J53,NetScores!J$4:J$64,1)))</f>
        <v>0</v>
      </c>
      <c r="K53" s="33">
        <f>If(Actuals!J53=1,0, IF(Actuals!L53="",0,rank(NetScores!K53,NetScores!K$4:K$64,1)))</f>
        <v>0</v>
      </c>
      <c r="L53" s="33">
        <f>If(Actuals!K53=1,0, IF(Actuals!M53="",0,rank(NetScores!L53,NetScores!L$4:L$64,1)))</f>
        <v>0</v>
      </c>
      <c r="M53" s="33">
        <f>If(Actuals!L53=1,0, IF(Actuals!N53="",0,rank(NetScores!M53,NetScores!M$4:M$64,1)))</f>
        <v>0</v>
      </c>
      <c r="N53" s="33">
        <f>If(Actuals!M53=1,0, IF(Actuals!O53="",0,rank(NetScores!N53,NetScores!N$4:N$64,1)))</f>
        <v>0</v>
      </c>
      <c r="O53" s="33">
        <f>If(Actuals!N53=1,0, IF(Actuals!P53="",0,rank(NetScores!O53,NetScores!O$4:O$64,1)))</f>
        <v>0</v>
      </c>
      <c r="P53" s="33">
        <f>If(Actuals!O53=1,0, IF(Actuals!Q53="",0,rank(NetScores!P53,NetScores!P$4:P$64,1)))</f>
        <v>0</v>
      </c>
      <c r="Q53" s="33">
        <f>If(Actuals!P53=1,0, IF(Actuals!R53="",0,rank(NetScores!Q53,NetScores!Q$4:Q$64,1)))</f>
        <v>0</v>
      </c>
      <c r="R53" s="20">
        <f t="shared" si="1"/>
        <v>0</v>
      </c>
      <c r="S53" s="20">
        <f t="shared" si="2"/>
        <v>0</v>
      </c>
      <c r="T53" s="20">
        <f t="shared" si="3"/>
        <v>0</v>
      </c>
    </row>
    <row r="54">
      <c r="A54" s="26" t="str">
        <f>Actuals!B54</f>
        <v>blank10</v>
      </c>
      <c r="B54" s="33">
        <f>If(Actuals!A54=1,0, IF(Actuals!C54="",0,rank(NetScores!B54,NetScores!B$4:B$64,1)))</f>
        <v>0</v>
      </c>
      <c r="C54" s="33">
        <f>If(Actuals!B54=1,0, IF(Actuals!D54="",0,rank(NetScores!C54,NetScores!C$4:C$64,1)))</f>
        <v>0</v>
      </c>
      <c r="D54" s="33">
        <f>If(Actuals!C54=1,0, IF(Actuals!E54="",0,rank(NetScores!D54,NetScores!D$4:D$64,1)))</f>
        <v>0</v>
      </c>
      <c r="E54" s="33">
        <f>If(Actuals!D54=1,0, IF(Actuals!F54="",0,rank(NetScores!E54,NetScores!E$4:E$64,1)))</f>
        <v>0</v>
      </c>
      <c r="F54" s="33">
        <f>If(Actuals!E54=1,0, IF(Actuals!G54="",0,rank(NetScores!F54,NetScores!F$4:F$64,1)))</f>
        <v>0</v>
      </c>
      <c r="G54" s="33">
        <f>If(Actuals!F54=1,0, IF(Actuals!H54="",0,rank(NetScores!G54,NetScores!G$4:G$64,1)))</f>
        <v>0</v>
      </c>
      <c r="H54" s="33">
        <f>If(Actuals!G54=1,0, IF(Actuals!I54="",0,rank(NetScores!H54,NetScores!H$4:H$64,1)))</f>
        <v>0</v>
      </c>
      <c r="I54" s="33">
        <f>If(Actuals!H54=1,0, IF(Actuals!J54="",0,rank(NetScores!I54,NetScores!I$4:I$64,1)))</f>
        <v>0</v>
      </c>
      <c r="J54" s="33">
        <f>If(Actuals!I54=1,0, IF(Actuals!K54="",0,rank(NetScores!J54,NetScores!J$4:J$64,1)))</f>
        <v>0</v>
      </c>
      <c r="K54" s="33">
        <f>If(Actuals!J54=1,0, IF(Actuals!L54="",0,rank(NetScores!K54,NetScores!K$4:K$64,1)))</f>
        <v>0</v>
      </c>
      <c r="L54" s="33">
        <f>If(Actuals!K54=1,0, IF(Actuals!M54="",0,rank(NetScores!L54,NetScores!L$4:L$64,1)))</f>
        <v>0</v>
      </c>
      <c r="M54" s="33">
        <f>If(Actuals!L54=1,0, IF(Actuals!N54="",0,rank(NetScores!M54,NetScores!M$4:M$64,1)))</f>
        <v>0</v>
      </c>
      <c r="N54" s="33">
        <f>If(Actuals!M54=1,0, IF(Actuals!O54="",0,rank(NetScores!N54,NetScores!N$4:N$64,1)))</f>
        <v>0</v>
      </c>
      <c r="O54" s="33">
        <f>If(Actuals!N54=1,0, IF(Actuals!P54="",0,rank(NetScores!O54,NetScores!O$4:O$64,1)))</f>
        <v>0</v>
      </c>
      <c r="P54" s="33">
        <f>If(Actuals!O54=1,0, IF(Actuals!Q54="",0,rank(NetScores!P54,NetScores!P$4:P$64,1)))</f>
        <v>0</v>
      </c>
      <c r="Q54" s="33">
        <f>If(Actuals!P54=1,0, IF(Actuals!R54="",0,rank(NetScores!Q54,NetScores!Q$4:Q$64,1)))</f>
        <v>0</v>
      </c>
      <c r="R54" s="20">
        <f t="shared" si="1"/>
        <v>0</v>
      </c>
      <c r="S54" s="20">
        <f t="shared" si="2"/>
        <v>0</v>
      </c>
      <c r="T54" s="20">
        <f t="shared" si="3"/>
        <v>0</v>
      </c>
    </row>
    <row r="55">
      <c r="A55" s="26" t="str">
        <f>Actuals!B55</f>
        <v>blank11</v>
      </c>
      <c r="B55" s="33">
        <f>If(Actuals!A55=1,0, IF(Actuals!C55="",0,rank(NetScores!B55,NetScores!B$4:B$64,1)))</f>
        <v>0</v>
      </c>
      <c r="C55" s="33">
        <f>If(Actuals!B55=1,0, IF(Actuals!D55="",0,rank(NetScores!C55,NetScores!C$4:C$64,1)))</f>
        <v>0</v>
      </c>
      <c r="D55" s="33">
        <f>If(Actuals!C55=1,0, IF(Actuals!E55="",0,rank(NetScores!D55,NetScores!D$4:D$64,1)))</f>
        <v>0</v>
      </c>
      <c r="E55" s="33">
        <f>If(Actuals!D55=1,0, IF(Actuals!F55="",0,rank(NetScores!E55,NetScores!E$4:E$64,1)))</f>
        <v>0</v>
      </c>
      <c r="F55" s="33">
        <f>If(Actuals!E55=1,0, IF(Actuals!G55="",0,rank(NetScores!F55,NetScores!F$4:F$64,1)))</f>
        <v>0</v>
      </c>
      <c r="G55" s="33">
        <f>If(Actuals!F55=1,0, IF(Actuals!H55="",0,rank(NetScores!G55,NetScores!G$4:G$64,1)))</f>
        <v>0</v>
      </c>
      <c r="H55" s="33">
        <f>If(Actuals!G55=1,0, IF(Actuals!I55="",0,rank(NetScores!H55,NetScores!H$4:H$64,1)))</f>
        <v>0</v>
      </c>
      <c r="I55" s="33">
        <f>If(Actuals!H55=1,0, IF(Actuals!J55="",0,rank(NetScores!I55,NetScores!I$4:I$64,1)))</f>
        <v>0</v>
      </c>
      <c r="J55" s="33">
        <f>If(Actuals!I55=1,0, IF(Actuals!K55="",0,rank(NetScores!J55,NetScores!J$4:J$64,1)))</f>
        <v>0</v>
      </c>
      <c r="K55" s="33">
        <f>If(Actuals!J55=1,0, IF(Actuals!L55="",0,rank(NetScores!K55,NetScores!K$4:K$64,1)))</f>
        <v>0</v>
      </c>
      <c r="L55" s="33">
        <f>If(Actuals!K55=1,0, IF(Actuals!M55="",0,rank(NetScores!L55,NetScores!L$4:L$64,1)))</f>
        <v>0</v>
      </c>
      <c r="M55" s="33">
        <f>If(Actuals!L55=1,0, IF(Actuals!N55="",0,rank(NetScores!M55,NetScores!M$4:M$64,1)))</f>
        <v>0</v>
      </c>
      <c r="N55" s="33">
        <f>If(Actuals!M55=1,0, IF(Actuals!O55="",0,rank(NetScores!N55,NetScores!N$4:N$64,1)))</f>
        <v>0</v>
      </c>
      <c r="O55" s="33">
        <f>If(Actuals!N55=1,0, IF(Actuals!P55="",0,rank(NetScores!O55,NetScores!O$4:O$64,1)))</f>
        <v>0</v>
      </c>
      <c r="P55" s="33">
        <f>If(Actuals!O55=1,0, IF(Actuals!Q55="",0,rank(NetScores!P55,NetScores!P$4:P$64,1)))</f>
        <v>0</v>
      </c>
      <c r="Q55" s="33">
        <f>If(Actuals!P55=1,0, IF(Actuals!R55="",0,rank(NetScores!Q55,NetScores!Q$4:Q$64,1)))</f>
        <v>0</v>
      </c>
      <c r="R55" s="20">
        <f t="shared" si="1"/>
        <v>0</v>
      </c>
      <c r="S55" s="20">
        <f t="shared" si="2"/>
        <v>0</v>
      </c>
      <c r="T55" s="20">
        <f t="shared" si="3"/>
        <v>0</v>
      </c>
    </row>
    <row r="56">
      <c r="A56" s="26" t="str">
        <f>Actuals!B56</f>
        <v>blank12</v>
      </c>
      <c r="B56" s="33">
        <f>If(Actuals!A56=1,0, IF(Actuals!C56="",0,rank(NetScores!B56,NetScores!B$4:B$64,1)))</f>
        <v>0</v>
      </c>
      <c r="C56" s="33">
        <f>If(Actuals!B56=1,0, IF(Actuals!D56="",0,rank(NetScores!C56,NetScores!C$4:C$64,1)))</f>
        <v>0</v>
      </c>
      <c r="D56" s="33">
        <f>If(Actuals!C56=1,0, IF(Actuals!E56="",0,rank(NetScores!D56,NetScores!D$4:D$64,1)))</f>
        <v>0</v>
      </c>
      <c r="E56" s="33">
        <f>If(Actuals!D56=1,0, IF(Actuals!F56="",0,rank(NetScores!E56,NetScores!E$4:E$64,1)))</f>
        <v>0</v>
      </c>
      <c r="F56" s="33">
        <f>If(Actuals!E56=1,0, IF(Actuals!G56="",0,rank(NetScores!F56,NetScores!F$4:F$64,1)))</f>
        <v>0</v>
      </c>
      <c r="G56" s="33">
        <f>If(Actuals!F56=1,0, IF(Actuals!H56="",0,rank(NetScores!G56,NetScores!G$4:G$64,1)))</f>
        <v>0</v>
      </c>
      <c r="H56" s="33">
        <f>If(Actuals!G56=1,0, IF(Actuals!I56="",0,rank(NetScores!H56,NetScores!H$4:H$64,1)))</f>
        <v>0</v>
      </c>
      <c r="I56" s="33">
        <f>If(Actuals!H56=1,0, IF(Actuals!J56="",0,rank(NetScores!I56,NetScores!I$4:I$64,1)))</f>
        <v>0</v>
      </c>
      <c r="J56" s="33">
        <f>If(Actuals!I56=1,0, IF(Actuals!K56="",0,rank(NetScores!J56,NetScores!J$4:J$64,1)))</f>
        <v>0</v>
      </c>
      <c r="K56" s="33">
        <f>If(Actuals!J56=1,0, IF(Actuals!L56="",0,rank(NetScores!K56,NetScores!K$4:K$64,1)))</f>
        <v>0</v>
      </c>
      <c r="L56" s="33">
        <f>If(Actuals!K56=1,0, IF(Actuals!M56="",0,rank(NetScores!L56,NetScores!L$4:L$64,1)))</f>
        <v>0</v>
      </c>
      <c r="M56" s="33">
        <f>If(Actuals!L56=1,0, IF(Actuals!N56="",0,rank(NetScores!M56,NetScores!M$4:M$64,1)))</f>
        <v>0</v>
      </c>
      <c r="N56" s="33">
        <f>If(Actuals!M56=1,0, IF(Actuals!O56="",0,rank(NetScores!N56,NetScores!N$4:N$64,1)))</f>
        <v>0</v>
      </c>
      <c r="O56" s="33">
        <f>If(Actuals!N56=1,0, IF(Actuals!P56="",0,rank(NetScores!O56,NetScores!O$4:O$64,1)))</f>
        <v>0</v>
      </c>
      <c r="P56" s="33">
        <f>If(Actuals!O56=1,0, IF(Actuals!Q56="",0,rank(NetScores!P56,NetScores!P$4:P$64,1)))</f>
        <v>0</v>
      </c>
      <c r="Q56" s="33">
        <f>If(Actuals!P56=1,0, IF(Actuals!R56="",0,rank(NetScores!Q56,NetScores!Q$4:Q$64,1)))</f>
        <v>0</v>
      </c>
      <c r="R56" s="20">
        <f t="shared" si="1"/>
        <v>0</v>
      </c>
      <c r="S56" s="20">
        <f t="shared" si="2"/>
        <v>0</v>
      </c>
      <c r="T56" s="20">
        <f t="shared" si="3"/>
        <v>0</v>
      </c>
    </row>
    <row r="57">
      <c r="A57" s="26" t="str">
        <f>Actuals!B57</f>
        <v>blank13</v>
      </c>
      <c r="B57" s="33">
        <f>If(Actuals!A57=1,0, IF(Actuals!C57="",0,rank(NetScores!B57,NetScores!B$4:B$64,1)))</f>
        <v>0</v>
      </c>
      <c r="C57" s="33">
        <f>If(Actuals!B57=1,0, IF(Actuals!D57="",0,rank(NetScores!C57,NetScores!C$4:C$64,1)))</f>
        <v>0</v>
      </c>
      <c r="D57" s="33">
        <f>If(Actuals!C57=1,0, IF(Actuals!E57="",0,rank(NetScores!D57,NetScores!D$4:D$64,1)))</f>
        <v>0</v>
      </c>
      <c r="E57" s="33">
        <f>If(Actuals!D57=1,0, IF(Actuals!F57="",0,rank(NetScores!E57,NetScores!E$4:E$64,1)))</f>
        <v>0</v>
      </c>
      <c r="F57" s="33">
        <f>If(Actuals!E57=1,0, IF(Actuals!G57="",0,rank(NetScores!F57,NetScores!F$4:F$64,1)))</f>
        <v>0</v>
      </c>
      <c r="G57" s="33">
        <f>If(Actuals!F57=1,0, IF(Actuals!H57="",0,rank(NetScores!G57,NetScores!G$4:G$64,1)))</f>
        <v>0</v>
      </c>
      <c r="H57" s="33">
        <f>If(Actuals!G57=1,0, IF(Actuals!I57="",0,rank(NetScores!H57,NetScores!H$4:H$64,1)))</f>
        <v>0</v>
      </c>
      <c r="I57" s="33">
        <f>If(Actuals!H57=1,0, IF(Actuals!J57="",0,rank(NetScores!I57,NetScores!I$4:I$64,1)))</f>
        <v>0</v>
      </c>
      <c r="J57" s="33">
        <f>If(Actuals!I57=1,0, IF(Actuals!K57="",0,rank(NetScores!J57,NetScores!J$4:J$64,1)))</f>
        <v>0</v>
      </c>
      <c r="K57" s="33">
        <f>If(Actuals!J57=1,0, IF(Actuals!L57="",0,rank(NetScores!K57,NetScores!K$4:K$64,1)))</f>
        <v>0</v>
      </c>
      <c r="L57" s="33">
        <f>If(Actuals!K57=1,0, IF(Actuals!M57="",0,rank(NetScores!L57,NetScores!L$4:L$64,1)))</f>
        <v>0</v>
      </c>
      <c r="M57" s="33">
        <f>If(Actuals!L57=1,0, IF(Actuals!N57="",0,rank(NetScores!M57,NetScores!M$4:M$64,1)))</f>
        <v>0</v>
      </c>
      <c r="N57" s="33">
        <f>If(Actuals!M57=1,0, IF(Actuals!O57="",0,rank(NetScores!N57,NetScores!N$4:N$64,1)))</f>
        <v>0</v>
      </c>
      <c r="O57" s="33">
        <f>If(Actuals!N57=1,0, IF(Actuals!P57="",0,rank(NetScores!O57,NetScores!O$4:O$64,1)))</f>
        <v>0</v>
      </c>
      <c r="P57" s="33">
        <f>If(Actuals!O57=1,0, IF(Actuals!Q57="",0,rank(NetScores!P57,NetScores!P$4:P$64,1)))</f>
        <v>0</v>
      </c>
      <c r="Q57" s="33">
        <f>If(Actuals!P57=1,0, IF(Actuals!R57="",0,rank(NetScores!Q57,NetScores!Q$4:Q$64,1)))</f>
        <v>0</v>
      </c>
      <c r="R57" s="20">
        <f t="shared" si="1"/>
        <v>0</v>
      </c>
      <c r="S57" s="20">
        <f t="shared" si="2"/>
        <v>0</v>
      </c>
      <c r="T57" s="20">
        <f t="shared" si="3"/>
        <v>0</v>
      </c>
    </row>
    <row r="58">
      <c r="A58" s="26" t="str">
        <f>Actuals!B58</f>
        <v>blank14</v>
      </c>
      <c r="B58" s="33">
        <f>If(Actuals!A58=1,0, IF(Actuals!C58="",0,rank(NetScores!B58,NetScores!B$4:B$64,1)))</f>
        <v>0</v>
      </c>
      <c r="C58" s="33">
        <f>If(Actuals!B58=1,0, IF(Actuals!D58="",0,rank(NetScores!C58,NetScores!C$4:C$64,1)))</f>
        <v>0</v>
      </c>
      <c r="D58" s="33">
        <f>If(Actuals!C58=1,0, IF(Actuals!E58="",0,rank(NetScores!D58,NetScores!D$4:D$64,1)))</f>
        <v>0</v>
      </c>
      <c r="E58" s="33">
        <f>If(Actuals!D58=1,0, IF(Actuals!F58="",0,rank(NetScores!E58,NetScores!E$4:E$64,1)))</f>
        <v>0</v>
      </c>
      <c r="F58" s="33">
        <f>If(Actuals!E58=1,0, IF(Actuals!G58="",0,rank(NetScores!F58,NetScores!F$4:F$64,1)))</f>
        <v>0</v>
      </c>
      <c r="G58" s="33">
        <f>If(Actuals!F58=1,0, IF(Actuals!H58="",0,rank(NetScores!G58,NetScores!G$4:G$64,1)))</f>
        <v>0</v>
      </c>
      <c r="H58" s="33">
        <f>If(Actuals!G58=1,0, IF(Actuals!I58="",0,rank(NetScores!H58,NetScores!H$4:H$64,1)))</f>
        <v>0</v>
      </c>
      <c r="I58" s="33">
        <f>If(Actuals!H58=1,0, IF(Actuals!J58="",0,rank(NetScores!I58,NetScores!I$4:I$64,1)))</f>
        <v>0</v>
      </c>
      <c r="J58" s="33">
        <f>If(Actuals!I58=1,0, IF(Actuals!K58="",0,rank(NetScores!J58,NetScores!J$4:J$64,1)))</f>
        <v>0</v>
      </c>
      <c r="K58" s="33">
        <f>If(Actuals!J58=1,0, IF(Actuals!L58="",0,rank(NetScores!K58,NetScores!K$4:K$64,1)))</f>
        <v>0</v>
      </c>
      <c r="L58" s="33">
        <f>If(Actuals!K58=1,0, IF(Actuals!M58="",0,rank(NetScores!L58,NetScores!L$4:L$64,1)))</f>
        <v>0</v>
      </c>
      <c r="M58" s="33">
        <f>If(Actuals!L58=1,0, IF(Actuals!N58="",0,rank(NetScores!M58,NetScores!M$4:M$64,1)))</f>
        <v>0</v>
      </c>
      <c r="N58" s="33">
        <f>If(Actuals!M58=1,0, IF(Actuals!O58="",0,rank(NetScores!N58,NetScores!N$4:N$64,1)))</f>
        <v>0</v>
      </c>
      <c r="O58" s="33">
        <f>If(Actuals!N58=1,0, IF(Actuals!P58="",0,rank(NetScores!O58,NetScores!O$4:O$64,1)))</f>
        <v>0</v>
      </c>
      <c r="P58" s="33">
        <f>If(Actuals!O58=1,0, IF(Actuals!Q58="",0,rank(NetScores!P58,NetScores!P$4:P$64,1)))</f>
        <v>0</v>
      </c>
      <c r="Q58" s="33">
        <f>If(Actuals!P58=1,0, IF(Actuals!R58="",0,rank(NetScores!Q58,NetScores!Q$4:Q$64,1)))</f>
        <v>0</v>
      </c>
      <c r="R58" s="20">
        <f t="shared" si="1"/>
        <v>0</v>
      </c>
      <c r="S58" s="20">
        <f t="shared" si="2"/>
        <v>0</v>
      </c>
      <c r="T58" s="20">
        <f t="shared" si="3"/>
        <v>0</v>
      </c>
    </row>
    <row r="59">
      <c r="A59" s="26" t="str">
        <f>Actuals!B59</f>
        <v>blank15</v>
      </c>
      <c r="B59" s="33">
        <f>If(Actuals!A59=1,0, IF(Actuals!C59="",0,rank(NetScores!B59,NetScores!B$4:B$64,1)))</f>
        <v>0</v>
      </c>
      <c r="C59" s="33">
        <f>If(Actuals!B59=1,0, IF(Actuals!D59="",0,rank(NetScores!C59,NetScores!C$4:C$64,1)))</f>
        <v>0</v>
      </c>
      <c r="D59" s="33">
        <f>If(Actuals!C59=1,0, IF(Actuals!E59="",0,rank(NetScores!D59,NetScores!D$4:D$64,1)))</f>
        <v>0</v>
      </c>
      <c r="E59" s="33">
        <f>If(Actuals!D59=1,0, IF(Actuals!F59="",0,rank(NetScores!E59,NetScores!E$4:E$64,1)))</f>
        <v>0</v>
      </c>
      <c r="F59" s="33">
        <f>If(Actuals!E59=1,0, IF(Actuals!G59="",0,rank(NetScores!F59,NetScores!F$4:F$64,1)))</f>
        <v>0</v>
      </c>
      <c r="G59" s="33">
        <f>If(Actuals!F59=1,0, IF(Actuals!H59="",0,rank(NetScores!G59,NetScores!G$4:G$64,1)))</f>
        <v>0</v>
      </c>
      <c r="H59" s="33">
        <f>If(Actuals!G59=1,0, IF(Actuals!I59="",0,rank(NetScores!H59,NetScores!H$4:H$64,1)))</f>
        <v>0</v>
      </c>
      <c r="I59" s="33">
        <f>If(Actuals!H59=1,0, IF(Actuals!J59="",0,rank(NetScores!I59,NetScores!I$4:I$64,1)))</f>
        <v>0</v>
      </c>
      <c r="J59" s="33">
        <f>If(Actuals!I59=1,0, IF(Actuals!K59="",0,rank(NetScores!J59,NetScores!J$4:J$64,1)))</f>
        <v>0</v>
      </c>
      <c r="K59" s="33">
        <f>If(Actuals!J59=1,0, IF(Actuals!L59="",0,rank(NetScores!K59,NetScores!K$4:K$64,1)))</f>
        <v>0</v>
      </c>
      <c r="L59" s="33">
        <f>If(Actuals!K59=1,0, IF(Actuals!M59="",0,rank(NetScores!L59,NetScores!L$4:L$64,1)))</f>
        <v>0</v>
      </c>
      <c r="M59" s="33">
        <f>If(Actuals!L59=1,0, IF(Actuals!N59="",0,rank(NetScores!M59,NetScores!M$4:M$64,1)))</f>
        <v>0</v>
      </c>
      <c r="N59" s="33">
        <f>If(Actuals!M59=1,0, IF(Actuals!O59="",0,rank(NetScores!N59,NetScores!N$4:N$64,1)))</f>
        <v>0</v>
      </c>
      <c r="O59" s="33">
        <f>If(Actuals!N59=1,0, IF(Actuals!P59="",0,rank(NetScores!O59,NetScores!O$4:O$64,1)))</f>
        <v>0</v>
      </c>
      <c r="P59" s="33">
        <f>If(Actuals!O59=1,0, IF(Actuals!Q59="",0,rank(NetScores!P59,NetScores!P$4:P$64,1)))</f>
        <v>0</v>
      </c>
      <c r="Q59" s="33">
        <f>If(Actuals!P59=1,0, IF(Actuals!R59="",0,rank(NetScores!Q59,NetScores!Q$4:Q$64,1)))</f>
        <v>0</v>
      </c>
      <c r="R59" s="20">
        <f t="shared" si="1"/>
        <v>0</v>
      </c>
      <c r="S59" s="20">
        <f t="shared" si="2"/>
        <v>0</v>
      </c>
      <c r="T59" s="20">
        <f t="shared" si="3"/>
        <v>0</v>
      </c>
    </row>
    <row r="60">
      <c r="A60" s="26" t="str">
        <f>Actuals!B60</f>
        <v>blank16</v>
      </c>
      <c r="B60" s="33">
        <f>If(Actuals!A60=1,0, IF(Actuals!C60="",0,rank(NetScores!B60,NetScores!B$4:B$64,1)))</f>
        <v>0</v>
      </c>
      <c r="C60" s="33">
        <f>If(Actuals!B60=1,0, IF(Actuals!D60="",0,rank(NetScores!C60,NetScores!C$4:C$64,1)))</f>
        <v>0</v>
      </c>
      <c r="D60" s="33">
        <f>If(Actuals!C60=1,0, IF(Actuals!E60="",0,rank(NetScores!D60,NetScores!D$4:D$64,1)))</f>
        <v>0</v>
      </c>
      <c r="E60" s="33">
        <f>If(Actuals!D60=1,0, IF(Actuals!F60="",0,rank(NetScores!E60,NetScores!E$4:E$64,1)))</f>
        <v>0</v>
      </c>
      <c r="F60" s="33">
        <f>If(Actuals!E60=1,0, IF(Actuals!G60="",0,rank(NetScores!F60,NetScores!F$4:F$64,1)))</f>
        <v>0</v>
      </c>
      <c r="G60" s="33">
        <f>If(Actuals!F60=1,0, IF(Actuals!H60="",0,rank(NetScores!G60,NetScores!G$4:G$64,1)))</f>
        <v>0</v>
      </c>
      <c r="H60" s="33">
        <f>If(Actuals!G60=1,0, IF(Actuals!I60="",0,rank(NetScores!H60,NetScores!H$4:H$64,1)))</f>
        <v>0</v>
      </c>
      <c r="I60" s="33">
        <f>If(Actuals!H60=1,0, IF(Actuals!J60="",0,rank(NetScores!I60,NetScores!I$4:I$64,1)))</f>
        <v>0</v>
      </c>
      <c r="J60" s="33">
        <f>If(Actuals!I60=1,0, IF(Actuals!K60="",0,rank(NetScores!J60,NetScores!J$4:J$64,1)))</f>
        <v>0</v>
      </c>
      <c r="K60" s="33">
        <f>If(Actuals!J60=1,0, IF(Actuals!L60="",0,rank(NetScores!K60,NetScores!K$4:K$64,1)))</f>
        <v>0</v>
      </c>
      <c r="L60" s="33">
        <f>If(Actuals!K60=1,0, IF(Actuals!M60="",0,rank(NetScores!L60,NetScores!L$4:L$64,1)))</f>
        <v>0</v>
      </c>
      <c r="M60" s="33">
        <f>If(Actuals!L60=1,0, IF(Actuals!N60="",0,rank(NetScores!M60,NetScores!M$4:M$64,1)))</f>
        <v>0</v>
      </c>
      <c r="N60" s="33">
        <f>If(Actuals!M60=1,0, IF(Actuals!O60="",0,rank(NetScores!N60,NetScores!N$4:N$64,1)))</f>
        <v>0</v>
      </c>
      <c r="O60" s="33">
        <f>If(Actuals!N60=1,0, IF(Actuals!P60="",0,rank(NetScores!O60,NetScores!O$4:O$64,1)))</f>
        <v>0</v>
      </c>
      <c r="P60" s="33">
        <f>If(Actuals!O60=1,0, IF(Actuals!Q60="",0,rank(NetScores!P60,NetScores!P$4:P$64,1)))</f>
        <v>0</v>
      </c>
      <c r="Q60" s="33">
        <f>If(Actuals!P60=1,0, IF(Actuals!R60="",0,rank(NetScores!Q60,NetScores!Q$4:Q$64,1)))</f>
        <v>0</v>
      </c>
      <c r="R60" s="20">
        <f t="shared" si="1"/>
        <v>0</v>
      </c>
      <c r="S60" s="20">
        <f t="shared" si="2"/>
        <v>0</v>
      </c>
      <c r="T60" s="20">
        <f t="shared" si="3"/>
        <v>0</v>
      </c>
    </row>
    <row r="61">
      <c r="A61" s="26" t="str">
        <f>Actuals!B61</f>
        <v>blank17</v>
      </c>
      <c r="B61" s="33">
        <f>If(Actuals!A61=1,0, IF(Actuals!C61="",0,rank(NetScores!B61,NetScores!B$4:B$64,1)))</f>
        <v>0</v>
      </c>
      <c r="C61" s="33">
        <f>If(Actuals!B61=1,0, IF(Actuals!D61="",0,rank(NetScores!C61,NetScores!C$4:C$64,1)))</f>
        <v>0</v>
      </c>
      <c r="D61" s="33">
        <f>If(Actuals!C61=1,0, IF(Actuals!E61="",0,rank(NetScores!D61,NetScores!D$4:D$64,1)))</f>
        <v>0</v>
      </c>
      <c r="E61" s="33">
        <f>If(Actuals!D61=1,0, IF(Actuals!F61="",0,rank(NetScores!E61,NetScores!E$4:E$64,1)))</f>
        <v>0</v>
      </c>
      <c r="F61" s="33">
        <f>If(Actuals!E61=1,0, IF(Actuals!G61="",0,rank(NetScores!F61,NetScores!F$4:F$64,1)))</f>
        <v>0</v>
      </c>
      <c r="G61" s="33">
        <f>If(Actuals!F61=1,0, IF(Actuals!H61="",0,rank(NetScores!G61,NetScores!G$4:G$64,1)))</f>
        <v>0</v>
      </c>
      <c r="H61" s="33">
        <f>If(Actuals!G61=1,0, IF(Actuals!I61="",0,rank(NetScores!H61,NetScores!H$4:H$64,1)))</f>
        <v>0</v>
      </c>
      <c r="I61" s="33">
        <f>If(Actuals!H61=1,0, IF(Actuals!J61="",0,rank(NetScores!I61,NetScores!I$4:I$64,1)))</f>
        <v>0</v>
      </c>
      <c r="J61" s="33">
        <f>If(Actuals!I61=1,0, IF(Actuals!K61="",0,rank(NetScores!J61,NetScores!J$4:J$64,1)))</f>
        <v>0</v>
      </c>
      <c r="K61" s="33">
        <f>If(Actuals!J61=1,0, IF(Actuals!L61="",0,rank(NetScores!K61,NetScores!K$4:K$64,1)))</f>
        <v>0</v>
      </c>
      <c r="L61" s="33">
        <f>If(Actuals!K61=1,0, IF(Actuals!M61="",0,rank(NetScores!L61,NetScores!L$4:L$64,1)))</f>
        <v>0</v>
      </c>
      <c r="M61" s="33">
        <f>If(Actuals!L61=1,0, IF(Actuals!N61="",0,rank(NetScores!M61,NetScores!M$4:M$64,1)))</f>
        <v>0</v>
      </c>
      <c r="N61" s="33">
        <f>If(Actuals!M61=1,0, IF(Actuals!O61="",0,rank(NetScores!N61,NetScores!N$4:N$64,1)))</f>
        <v>0</v>
      </c>
      <c r="O61" s="33">
        <f>If(Actuals!N61=1,0, IF(Actuals!P61="",0,rank(NetScores!O61,NetScores!O$4:O$64,1)))</f>
        <v>0</v>
      </c>
      <c r="P61" s="33">
        <f>If(Actuals!O61=1,0, IF(Actuals!Q61="",0,rank(NetScores!P61,NetScores!P$4:P$64,1)))</f>
        <v>0</v>
      </c>
      <c r="Q61" s="33">
        <f>If(Actuals!P61=1,0, IF(Actuals!R61="",0,rank(NetScores!Q61,NetScores!Q$4:Q$64,1)))</f>
        <v>0</v>
      </c>
      <c r="R61" s="20">
        <f t="shared" si="1"/>
        <v>0</v>
      </c>
      <c r="S61" s="20">
        <f t="shared" si="2"/>
        <v>0</v>
      </c>
      <c r="T61" s="20">
        <f t="shared" si="3"/>
        <v>0</v>
      </c>
    </row>
    <row r="62">
      <c r="A62" s="26" t="str">
        <f>Actuals!B62</f>
        <v>blank18</v>
      </c>
      <c r="B62" s="33">
        <f>If(Actuals!A62=1,0, IF(Actuals!C62="",0,rank(NetScores!B62,NetScores!B$4:B$64,1)))</f>
        <v>0</v>
      </c>
      <c r="C62" s="33">
        <f>If(Actuals!B62=1,0, IF(Actuals!D62="",0,rank(NetScores!C62,NetScores!C$4:C$64,1)))</f>
        <v>0</v>
      </c>
      <c r="D62" s="33">
        <f>If(Actuals!C62=1,0, IF(Actuals!E62="",0,rank(NetScores!D62,NetScores!D$4:D$64,1)))</f>
        <v>0</v>
      </c>
      <c r="E62" s="33">
        <f>If(Actuals!D62=1,0, IF(Actuals!F62="",0,rank(NetScores!E62,NetScores!E$4:E$64,1)))</f>
        <v>0</v>
      </c>
      <c r="F62" s="33">
        <f>If(Actuals!E62=1,0, IF(Actuals!G62="",0,rank(NetScores!F62,NetScores!F$4:F$64,1)))</f>
        <v>0</v>
      </c>
      <c r="G62" s="33">
        <f>If(Actuals!F62=1,0, IF(Actuals!H62="",0,rank(NetScores!G62,NetScores!G$4:G$64,1)))</f>
        <v>0</v>
      </c>
      <c r="H62" s="33">
        <f>If(Actuals!G62=1,0, IF(Actuals!I62="",0,rank(NetScores!H62,NetScores!H$4:H$64,1)))</f>
        <v>0</v>
      </c>
      <c r="I62" s="33">
        <f>If(Actuals!H62=1,0, IF(Actuals!J62="",0,rank(NetScores!I62,NetScores!I$4:I$64,1)))</f>
        <v>0</v>
      </c>
      <c r="J62" s="33">
        <f>If(Actuals!I62=1,0, IF(Actuals!K62="",0,rank(NetScores!J62,NetScores!J$4:J$64,1)))</f>
        <v>0</v>
      </c>
      <c r="K62" s="33">
        <f>If(Actuals!J62=1,0, IF(Actuals!L62="",0,rank(NetScores!K62,NetScores!K$4:K$64,1)))</f>
        <v>0</v>
      </c>
      <c r="L62" s="33">
        <f>If(Actuals!K62=1,0, IF(Actuals!M62="",0,rank(NetScores!L62,NetScores!L$4:L$64,1)))</f>
        <v>0</v>
      </c>
      <c r="M62" s="33">
        <f>If(Actuals!L62=1,0, IF(Actuals!N62="",0,rank(NetScores!M62,NetScores!M$4:M$64,1)))</f>
        <v>0</v>
      </c>
      <c r="N62" s="33">
        <f>If(Actuals!M62=1,0, IF(Actuals!O62="",0,rank(NetScores!N62,NetScores!N$4:N$64,1)))</f>
        <v>0</v>
      </c>
      <c r="O62" s="33">
        <f>If(Actuals!N62=1,0, IF(Actuals!P62="",0,rank(NetScores!O62,NetScores!O$4:O$64,1)))</f>
        <v>0</v>
      </c>
      <c r="P62" s="33">
        <f>If(Actuals!O62=1,0, IF(Actuals!Q62="",0,rank(NetScores!P62,NetScores!P$4:P$64,1)))</f>
        <v>0</v>
      </c>
      <c r="Q62" s="33">
        <f>If(Actuals!P62=1,0, IF(Actuals!R62="",0,rank(NetScores!Q62,NetScores!Q$4:Q$64,1)))</f>
        <v>0</v>
      </c>
      <c r="R62" s="20">
        <f t="shared" si="1"/>
        <v>0</v>
      </c>
      <c r="S62" s="20">
        <f t="shared" si="2"/>
        <v>0</v>
      </c>
      <c r="T62" s="20">
        <f t="shared" si="3"/>
        <v>0</v>
      </c>
    </row>
    <row r="63">
      <c r="A63" s="26" t="str">
        <f>Actuals!B63</f>
        <v>blank19</v>
      </c>
      <c r="B63" s="33">
        <f>If(Actuals!A63=1,0, IF(Actuals!C63="",0,rank(NetScores!B63,NetScores!B$4:B$64,1)))</f>
        <v>0</v>
      </c>
      <c r="C63" s="33">
        <f>If(Actuals!B63=1,0, IF(Actuals!D63="",0,rank(NetScores!C63,NetScores!C$4:C$64,1)))</f>
        <v>0</v>
      </c>
      <c r="D63" s="33">
        <f>If(Actuals!C63=1,0, IF(Actuals!E63="",0,rank(NetScores!D63,NetScores!D$4:D$64,1)))</f>
        <v>0</v>
      </c>
      <c r="E63" s="33">
        <f>If(Actuals!D63=1,0, IF(Actuals!F63="",0,rank(NetScores!E63,NetScores!E$4:E$64,1)))</f>
        <v>0</v>
      </c>
      <c r="F63" s="33">
        <f>If(Actuals!E63=1,0, IF(Actuals!G63="",0,rank(NetScores!F63,NetScores!F$4:F$64,1)))</f>
        <v>0</v>
      </c>
      <c r="G63" s="33">
        <f>If(Actuals!F63=1,0, IF(Actuals!H63="",0,rank(NetScores!G63,NetScores!G$4:G$64,1)))</f>
        <v>0</v>
      </c>
      <c r="H63" s="33">
        <f>If(Actuals!G63=1,0, IF(Actuals!I63="",0,rank(NetScores!H63,NetScores!H$4:H$64,1)))</f>
        <v>0</v>
      </c>
      <c r="I63" s="33">
        <f>If(Actuals!H63=1,0, IF(Actuals!J63="",0,rank(NetScores!I63,NetScores!I$4:I$64,1)))</f>
        <v>0</v>
      </c>
      <c r="J63" s="33">
        <f>If(Actuals!I63=1,0, IF(Actuals!K63="",0,rank(NetScores!J63,NetScores!J$4:J$64,1)))</f>
        <v>0</v>
      </c>
      <c r="K63" s="33">
        <f>If(Actuals!J63=1,0, IF(Actuals!L63="",0,rank(NetScores!K63,NetScores!K$4:K$64,1)))</f>
        <v>0</v>
      </c>
      <c r="L63" s="33">
        <f>If(Actuals!K63=1,0, IF(Actuals!M63="",0,rank(NetScores!L63,NetScores!L$4:L$64,1)))</f>
        <v>0</v>
      </c>
      <c r="M63" s="33">
        <f>If(Actuals!L63=1,0, IF(Actuals!N63="",0,rank(NetScores!M63,NetScores!M$4:M$64,1)))</f>
        <v>0</v>
      </c>
      <c r="N63" s="33">
        <f>If(Actuals!M63=1,0, IF(Actuals!O63="",0,rank(NetScores!N63,NetScores!N$4:N$64,1)))</f>
        <v>0</v>
      </c>
      <c r="O63" s="33">
        <f>If(Actuals!N63=1,0, IF(Actuals!P63="",0,rank(NetScores!O63,NetScores!O$4:O$64,1)))</f>
        <v>0</v>
      </c>
      <c r="P63" s="33">
        <f>If(Actuals!O63=1,0, IF(Actuals!Q63="",0,rank(NetScores!P63,NetScores!P$4:P$64,1)))</f>
        <v>0</v>
      </c>
      <c r="Q63" s="33">
        <f>If(Actuals!P63=1,0, IF(Actuals!R63="",0,rank(NetScores!Q63,NetScores!Q$4:Q$64,1)))</f>
        <v>0</v>
      </c>
      <c r="R63" s="20">
        <f t="shared" si="1"/>
        <v>0</v>
      </c>
      <c r="S63" s="20">
        <f t="shared" si="2"/>
        <v>0</v>
      </c>
      <c r="T63" s="20">
        <f t="shared" si="3"/>
        <v>0</v>
      </c>
    </row>
    <row r="64">
      <c r="A64" s="26" t="str">
        <f>Actuals!B64</f>
        <v>blank20</v>
      </c>
      <c r="B64" s="33">
        <f>If(Actuals!A64=1,0, IF(Actuals!C64="",0,rank(NetScores!B64,NetScores!B$4:B$64,1)))</f>
        <v>0</v>
      </c>
      <c r="C64" s="33">
        <f>If(Actuals!B64=1,0, IF(Actuals!D64="",0,rank(NetScores!C64,NetScores!C$4:C$64,1)))</f>
        <v>0</v>
      </c>
      <c r="D64" s="33">
        <f>If(Actuals!C64=1,0, IF(Actuals!E64="",0,rank(NetScores!D64,NetScores!D$4:D$64,1)))</f>
        <v>0</v>
      </c>
      <c r="E64" s="33">
        <f>If(Actuals!D64=1,0, IF(Actuals!F64="",0,rank(NetScores!E64,NetScores!E$4:E$64,1)))</f>
        <v>0</v>
      </c>
      <c r="F64" s="33">
        <f>If(Actuals!E64=1,0, IF(Actuals!G64="",0,rank(NetScores!F64,NetScores!F$4:F$64,1)))</f>
        <v>0</v>
      </c>
      <c r="G64" s="33">
        <f>If(Actuals!F64=1,0, IF(Actuals!H64="",0,rank(NetScores!G64,NetScores!G$4:G$64,1)))</f>
        <v>0</v>
      </c>
      <c r="H64" s="33">
        <f>If(Actuals!G64=1,0, IF(Actuals!I64="",0,rank(NetScores!H64,NetScores!H$4:H$64,1)))</f>
        <v>0</v>
      </c>
      <c r="I64" s="33">
        <f>If(Actuals!H64=1,0, IF(Actuals!J64="",0,rank(NetScores!I64,NetScores!I$4:I$64,1)))</f>
        <v>0</v>
      </c>
      <c r="J64" s="33">
        <f>If(Actuals!I64=1,0, IF(Actuals!K64="",0,rank(NetScores!J64,NetScores!J$4:J$64,1)))</f>
        <v>0</v>
      </c>
      <c r="K64" s="33">
        <f>If(Actuals!J64=1,0, IF(Actuals!L64="",0,rank(NetScores!K64,NetScores!K$4:K$64,1)))</f>
        <v>0</v>
      </c>
      <c r="L64" s="33">
        <f>If(Actuals!K64=1,0, IF(Actuals!M64="",0,rank(NetScores!L64,NetScores!L$4:L$64,1)))</f>
        <v>0</v>
      </c>
      <c r="M64" s="33">
        <f>If(Actuals!L64=1,0, IF(Actuals!N64="",0,rank(NetScores!M64,NetScores!M$4:M$64,1)))</f>
        <v>0</v>
      </c>
      <c r="N64" s="33">
        <f>If(Actuals!M64=1,0, IF(Actuals!O64="",0,rank(NetScores!N64,NetScores!N$4:N$64,1)))</f>
        <v>0</v>
      </c>
      <c r="O64" s="33">
        <f>If(Actuals!N64=1,0, IF(Actuals!P64="",0,rank(NetScores!O64,NetScores!O$4:O$64,1)))</f>
        <v>0</v>
      </c>
      <c r="P64" s="33">
        <f>If(Actuals!O64=1,0, IF(Actuals!Q64="",0,rank(NetScores!P64,NetScores!P$4:P$64,1)))</f>
        <v>0</v>
      </c>
      <c r="Q64" s="33">
        <f>If(Actuals!P64=1,0, IF(Actuals!R64="",0,rank(NetScores!Q64,NetScores!Q$4:Q$64,1)))</f>
        <v>0</v>
      </c>
      <c r="R64" s="20">
        <f t="shared" si="1"/>
        <v>0</v>
      </c>
      <c r="S64" s="20">
        <f t="shared" si="2"/>
        <v>0</v>
      </c>
      <c r="T64" s="20">
        <f t="shared" si="3"/>
        <v>0</v>
      </c>
    </row>
    <row r="65">
      <c r="A65" s="26" t="str">
        <f>Actuals!B65</f>
        <v>blank21</v>
      </c>
      <c r="B65" s="33">
        <f>If(Actuals!A65=1,0, IF(Actuals!C65="",0,rank(NetScores!B65,NetScores!B$4:B$64,1)))</f>
        <v>0</v>
      </c>
      <c r="C65" s="33">
        <f>If(Actuals!B65=1,0, IF(Actuals!D65="",0,rank(NetScores!C65,NetScores!C$4:C$64,1)))</f>
        <v>0</v>
      </c>
      <c r="D65" s="33">
        <f>If(Actuals!C65=1,0, IF(Actuals!E65="",0,rank(NetScores!D65,NetScores!D$4:D$64,1)))</f>
        <v>0</v>
      </c>
      <c r="E65" s="33">
        <f>If(Actuals!D65=1,0, IF(Actuals!F65="",0,rank(NetScores!E65,NetScores!E$4:E$64,1)))</f>
        <v>0</v>
      </c>
      <c r="F65" s="33">
        <f>If(Actuals!E65=1,0, IF(Actuals!G65="",0,rank(NetScores!F65,NetScores!F$4:F$64,1)))</f>
        <v>0</v>
      </c>
      <c r="G65" s="33">
        <f>If(Actuals!F65=1,0, IF(Actuals!H65="",0,rank(NetScores!G65,NetScores!G$4:G$64,1)))</f>
        <v>0</v>
      </c>
      <c r="H65" s="33">
        <f>If(Actuals!G65=1,0, IF(Actuals!I65="",0,rank(NetScores!H65,NetScores!H$4:H$64,1)))</f>
        <v>0</v>
      </c>
      <c r="I65" s="33">
        <f>If(Actuals!H65=1,0, IF(Actuals!J65="",0,rank(NetScores!I65,NetScores!I$4:I$64,1)))</f>
        <v>0</v>
      </c>
      <c r="J65" s="33">
        <f>If(Actuals!I65=1,0, IF(Actuals!K65="",0,rank(NetScores!J65,NetScores!J$4:J$64,1)))</f>
        <v>0</v>
      </c>
      <c r="K65" s="33">
        <f>If(Actuals!J65=1,0, IF(Actuals!L65="",0,rank(NetScores!K65,NetScores!K$4:K$64,1)))</f>
        <v>0</v>
      </c>
      <c r="L65" s="33">
        <f>If(Actuals!K65=1,0, IF(Actuals!M65="",0,rank(NetScores!L65,NetScores!L$4:L$64,1)))</f>
        <v>0</v>
      </c>
      <c r="M65" s="33">
        <f>If(Actuals!L65=1,0, IF(Actuals!N65="",0,rank(NetScores!M65,NetScores!M$4:M$64,1)))</f>
        <v>0</v>
      </c>
      <c r="N65" s="33">
        <f>If(Actuals!M65=1,0, IF(Actuals!O65="",0,rank(NetScores!N65,NetScores!N$4:N$64,1)))</f>
        <v>0</v>
      </c>
      <c r="O65" s="33">
        <f>If(Actuals!N65=1,0, IF(Actuals!P65="",0,rank(NetScores!O65,NetScores!O$4:O$64,1)))</f>
        <v>0</v>
      </c>
      <c r="P65" s="33">
        <f>If(Actuals!O65=1,0, IF(Actuals!Q65="",0,rank(NetScores!P65,NetScores!P$4:P$64,1)))</f>
        <v>0</v>
      </c>
      <c r="Q65" s="33">
        <f>If(Actuals!P65=1,0, IF(Actuals!R65="",0,rank(NetScores!Q65,NetScores!Q$4:Q$64,1)))</f>
        <v>0</v>
      </c>
      <c r="R65" s="20">
        <f t="shared" si="1"/>
        <v>0</v>
      </c>
      <c r="S65" s="20">
        <f t="shared" si="2"/>
        <v>0</v>
      </c>
      <c r="T65" s="20">
        <f t="shared" si="3"/>
        <v>0</v>
      </c>
    </row>
    <row r="66">
      <c r="A66" s="26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20"/>
      <c r="S66" s="20"/>
      <c r="T66" s="20"/>
    </row>
    <row r="67">
      <c r="A67" s="26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20"/>
      <c r="S67" s="20"/>
      <c r="T67" s="20"/>
    </row>
    <row r="68">
      <c r="A68" s="26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20"/>
      <c r="S68" s="20"/>
      <c r="T68" s="20"/>
    </row>
  </sheetData>
  <mergeCells count="1">
    <mergeCell ref="B1:Q1"/>
  </mergeCells>
  <conditionalFormatting sqref="B4:Q68">
    <cfRule type="cellIs" dxfId="11" priority="1" operator="equal">
      <formula>1</formula>
    </cfRule>
  </conditionalFormatting>
  <conditionalFormatting sqref="B4:Q68">
    <cfRule type="cellIs" dxfId="12" priority="2" operator="equal">
      <formula>2</formula>
    </cfRule>
  </conditionalFormatting>
  <conditionalFormatting sqref="B4:Q68">
    <cfRule type="cellIs" dxfId="13" priority="3" operator="equal">
      <formula>3</formula>
    </cfRule>
  </conditionalFormatting>
  <conditionalFormatting sqref="B4:Q68">
    <cfRule type="cellIs" dxfId="14" priority="4" operator="equal">
      <formula>4</formula>
    </cfRule>
  </conditionalFormatting>
  <conditionalFormatting sqref="B4:Q68">
    <cfRule type="cellIs" dxfId="15" priority="5" operator="equal">
      <formula>5</formula>
    </cfRule>
  </conditionalFormatting>
  <conditionalFormatting sqref="R4:T68">
    <cfRule type="notContainsBlanks" dxfId="4" priority="6">
      <formula>LEN(TRIM(R4))&gt;0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38"/>
    <col customWidth="1" min="2" max="2" width="7.0"/>
    <col customWidth="1" min="3" max="3" width="7.38"/>
    <col customWidth="1" min="4" max="4" width="9.38"/>
    <col customWidth="1" min="5" max="8" width="7.0"/>
    <col customWidth="1" min="9" max="9" width="10.0"/>
    <col customWidth="1" min="10" max="10" width="7.0"/>
    <col customWidth="1" min="11" max="11" width="8.5"/>
    <col customWidth="1" min="12" max="12" width="10.5"/>
    <col customWidth="1" min="13" max="16" width="8.5"/>
    <col customWidth="1" min="17" max="17" width="9.0"/>
  </cols>
  <sheetData>
    <row r="1">
      <c r="A1" s="85"/>
      <c r="B1" s="86" t="s">
        <v>3</v>
      </c>
      <c r="C1" s="86" t="s">
        <v>4</v>
      </c>
      <c r="D1" s="86" t="s">
        <v>5</v>
      </c>
      <c r="E1" s="86" t="s">
        <v>6</v>
      </c>
      <c r="F1" s="86" t="s">
        <v>7</v>
      </c>
      <c r="G1" s="86" t="s">
        <v>8</v>
      </c>
      <c r="H1" s="86" t="s">
        <v>9</v>
      </c>
      <c r="I1" s="86" t="s">
        <v>10</v>
      </c>
      <c r="J1" s="86" t="s">
        <v>11</v>
      </c>
      <c r="K1" s="86" t="s">
        <v>12</v>
      </c>
      <c r="L1" s="86" t="s">
        <v>13</v>
      </c>
      <c r="M1" s="86" t="s">
        <v>14</v>
      </c>
      <c r="N1" s="86" t="s">
        <v>15</v>
      </c>
      <c r="O1" s="86" t="s">
        <v>16</v>
      </c>
      <c r="P1" s="86" t="s">
        <v>17</v>
      </c>
      <c r="Q1" s="86" t="s">
        <v>18</v>
      </c>
      <c r="R1" s="87" t="s">
        <v>35</v>
      </c>
    </row>
    <row r="2">
      <c r="A2" s="85"/>
      <c r="B2" s="88"/>
      <c r="C2" s="89"/>
      <c r="D2" s="89"/>
      <c r="E2" s="90"/>
      <c r="F2" s="90"/>
      <c r="G2" s="90"/>
      <c r="H2" s="90"/>
      <c r="I2" s="90"/>
      <c r="J2" s="86"/>
      <c r="K2" s="86"/>
      <c r="L2" s="91"/>
      <c r="M2" s="90"/>
      <c r="N2" s="90"/>
      <c r="O2" s="90"/>
      <c r="P2" s="90"/>
      <c r="Q2" s="91"/>
      <c r="R2" s="92"/>
    </row>
    <row r="3">
      <c r="A3" s="85"/>
      <c r="B3" s="93" t="s">
        <v>174</v>
      </c>
      <c r="C3" s="94" t="s">
        <v>175</v>
      </c>
      <c r="D3" s="94" t="s">
        <v>28</v>
      </c>
      <c r="E3" s="95" t="s">
        <v>176</v>
      </c>
      <c r="F3" s="95" t="s">
        <v>177</v>
      </c>
      <c r="G3" s="95" t="s">
        <v>178</v>
      </c>
      <c r="H3" s="95" t="s">
        <v>179</v>
      </c>
      <c r="I3" s="95" t="s">
        <v>180</v>
      </c>
      <c r="J3" s="96" t="s">
        <v>181</v>
      </c>
      <c r="K3" s="86"/>
      <c r="L3" s="93" t="s">
        <v>28</v>
      </c>
      <c r="M3" s="95" t="s">
        <v>176</v>
      </c>
      <c r="N3" s="95" t="s">
        <v>177</v>
      </c>
      <c r="O3" s="95" t="s">
        <v>178</v>
      </c>
      <c r="P3" s="95" t="s">
        <v>179</v>
      </c>
      <c r="Q3" s="93" t="s">
        <v>180</v>
      </c>
      <c r="R3" s="92"/>
    </row>
    <row r="4">
      <c r="A4" s="85"/>
      <c r="B4" s="95">
        <v>1.0</v>
      </c>
      <c r="C4" s="97">
        <v>130.0</v>
      </c>
      <c r="D4" s="94">
        <v>13.0</v>
      </c>
      <c r="E4" s="98">
        <f>if(D4&lt;8, (round((C4*0.66667)/5,0)*5) , if(D4 &lt; 12, (round(((C4 -15) *0.5)/5,0)*5),(round(((C4 -30) *0.4)/5,0)*5)))</f>
        <v>40</v>
      </c>
      <c r="F4" s="98">
        <f t="shared" ref="F4:F21" si="1">if(D4&lt;8,C4-E4,  if(D4&lt;12,round((C4-E4-I4)*0.6/5,0)*5,round((C4-E4-I4)*0.5/5,0)*5))</f>
        <v>30</v>
      </c>
      <c r="G4" s="98">
        <f t="shared" ref="G4:G21" si="2">if(D4&lt;8,0,if(D4&lt;12,C4-E4-F4-I4,round((C4-E4-F4-I4)*0.6667/5,0)*5))</f>
        <v>20</v>
      </c>
      <c r="H4" s="98">
        <f t="shared" ref="H4:H21" si="3">C4-E4-F4-G4-I4</f>
        <v>10</v>
      </c>
      <c r="I4" s="98">
        <f>if(D4&lt;8,0,if(D4&lt;12,15,30))</f>
        <v>30</v>
      </c>
      <c r="J4" s="96">
        <v>3.0</v>
      </c>
      <c r="K4" s="86"/>
      <c r="L4" s="99" t="s">
        <v>182</v>
      </c>
      <c r="M4" s="100">
        <v>0.6667</v>
      </c>
      <c r="N4" s="100">
        <v>0.3333</v>
      </c>
      <c r="O4" s="100">
        <v>0.0</v>
      </c>
      <c r="P4" s="100">
        <v>0.0</v>
      </c>
      <c r="Q4" s="101">
        <v>0.0</v>
      </c>
      <c r="R4" s="92"/>
    </row>
    <row r="5">
      <c r="A5" s="85"/>
      <c r="B5" s="95">
        <v>2.0</v>
      </c>
      <c r="C5" s="97">
        <v>110.0</v>
      </c>
      <c r="D5" s="94">
        <v>11.0</v>
      </c>
      <c r="E5" s="98">
        <f>if(D5&lt;8, (round((C5*0.66667)/5,0)*5) , if(D5 &lt; 12, (round(((C5 -10) *0.5)/5,0)*5),(round(((C5 -20) *0.4)/5,0)*5)))</f>
        <v>50</v>
      </c>
      <c r="F5" s="98">
        <f t="shared" si="1"/>
        <v>30</v>
      </c>
      <c r="G5" s="98">
        <f t="shared" si="2"/>
        <v>20</v>
      </c>
      <c r="H5" s="98">
        <f t="shared" si="3"/>
        <v>0</v>
      </c>
      <c r="I5" s="98">
        <f>if(D5&lt;8,0,if(D5&lt;12,10,20))</f>
        <v>10</v>
      </c>
      <c r="J5" s="96">
        <v>2.0</v>
      </c>
      <c r="K5" s="86"/>
      <c r="L5" s="99" t="s">
        <v>183</v>
      </c>
      <c r="M5" s="100">
        <v>0.5</v>
      </c>
      <c r="N5" s="100">
        <v>0.3</v>
      </c>
      <c r="O5" s="100">
        <v>0.2</v>
      </c>
      <c r="P5" s="100">
        <v>0.0</v>
      </c>
      <c r="Q5" s="101">
        <v>15.0</v>
      </c>
      <c r="R5" s="92"/>
    </row>
    <row r="6">
      <c r="A6" s="85"/>
      <c r="B6" s="95">
        <v>3.0</v>
      </c>
      <c r="C6" s="97">
        <v>120.0</v>
      </c>
      <c r="D6" s="94">
        <v>12.0</v>
      </c>
      <c r="E6" s="98">
        <f t="shared" ref="E6:E21" si="4">if(D6&lt;8, (round((C6*0.66667)/5,0)*5) , if(D6 &lt; 12, (round(((C6 -15) *0.5)/5,0)*5),(round(((C6 -30) *0.4)/5,0)*5)))</f>
        <v>35</v>
      </c>
      <c r="F6" s="98">
        <f t="shared" si="1"/>
        <v>30</v>
      </c>
      <c r="G6" s="98">
        <f t="shared" si="2"/>
        <v>15</v>
      </c>
      <c r="H6" s="98">
        <f t="shared" si="3"/>
        <v>10</v>
      </c>
      <c r="I6" s="98">
        <f t="shared" ref="I6:I21" si="5">if(D6&lt;8,0,if(D6&lt;12,15,30))</f>
        <v>30</v>
      </c>
      <c r="J6" s="96">
        <v>3.0</v>
      </c>
      <c r="K6" s="86"/>
      <c r="L6" s="99" t="s">
        <v>184</v>
      </c>
      <c r="M6" s="100">
        <v>0.4</v>
      </c>
      <c r="N6" s="100">
        <v>0.3</v>
      </c>
      <c r="O6" s="100">
        <v>0.2</v>
      </c>
      <c r="P6" s="100">
        <v>0.1</v>
      </c>
      <c r="Q6" s="101">
        <v>30.0</v>
      </c>
      <c r="R6" s="92"/>
    </row>
    <row r="7">
      <c r="A7" s="85"/>
      <c r="B7" s="95">
        <v>4.0</v>
      </c>
      <c r="C7" s="97"/>
      <c r="D7" s="94"/>
      <c r="E7" s="98">
        <f t="shared" si="4"/>
        <v>0</v>
      </c>
      <c r="F7" s="98">
        <f t="shared" si="1"/>
        <v>0</v>
      </c>
      <c r="G7" s="98">
        <f t="shared" si="2"/>
        <v>0</v>
      </c>
      <c r="H7" s="98">
        <f t="shared" si="3"/>
        <v>0</v>
      </c>
      <c r="I7" s="98">
        <f t="shared" si="5"/>
        <v>0</v>
      </c>
      <c r="J7" s="96"/>
      <c r="K7" s="86"/>
      <c r="L7" s="102" t="s">
        <v>185</v>
      </c>
      <c r="M7" s="88"/>
      <c r="N7" s="88"/>
      <c r="O7" s="88"/>
      <c r="P7" s="88"/>
      <c r="Q7" s="88"/>
      <c r="R7" s="92"/>
    </row>
    <row r="8">
      <c r="A8" s="85"/>
      <c r="B8" s="95">
        <v>5.0</v>
      </c>
      <c r="C8" s="97"/>
      <c r="D8" s="94"/>
      <c r="E8" s="98">
        <f t="shared" si="4"/>
        <v>0</v>
      </c>
      <c r="F8" s="98">
        <f t="shared" si="1"/>
        <v>0</v>
      </c>
      <c r="G8" s="98">
        <f t="shared" si="2"/>
        <v>0</v>
      </c>
      <c r="H8" s="98">
        <f t="shared" si="3"/>
        <v>0</v>
      </c>
      <c r="I8" s="98">
        <f t="shared" si="5"/>
        <v>0</v>
      </c>
      <c r="J8" s="96"/>
      <c r="K8" s="86"/>
      <c r="L8" s="86"/>
      <c r="M8" s="86"/>
      <c r="N8" s="86"/>
      <c r="O8" s="86"/>
      <c r="P8" s="86"/>
      <c r="Q8" s="86"/>
      <c r="R8" s="92"/>
    </row>
    <row r="9">
      <c r="A9" s="85"/>
      <c r="B9" s="95">
        <v>6.0</v>
      </c>
      <c r="C9" s="97"/>
      <c r="D9" s="94"/>
      <c r="E9" s="98">
        <f t="shared" si="4"/>
        <v>0</v>
      </c>
      <c r="F9" s="98">
        <f t="shared" si="1"/>
        <v>0</v>
      </c>
      <c r="G9" s="98">
        <f t="shared" si="2"/>
        <v>0</v>
      </c>
      <c r="H9" s="98">
        <f t="shared" si="3"/>
        <v>0</v>
      </c>
      <c r="I9" s="98">
        <f t="shared" si="5"/>
        <v>0</v>
      </c>
      <c r="J9" s="96"/>
      <c r="K9" s="86"/>
      <c r="L9" s="86"/>
      <c r="M9" s="86"/>
      <c r="N9" s="86"/>
      <c r="O9" s="86"/>
      <c r="P9" s="86"/>
      <c r="Q9" s="86"/>
      <c r="R9" s="92"/>
    </row>
    <row r="10">
      <c r="A10" s="85"/>
      <c r="B10" s="95">
        <v>7.0</v>
      </c>
      <c r="C10" s="97"/>
      <c r="D10" s="94"/>
      <c r="E10" s="98">
        <f t="shared" si="4"/>
        <v>0</v>
      </c>
      <c r="F10" s="98">
        <f t="shared" si="1"/>
        <v>0</v>
      </c>
      <c r="G10" s="98">
        <f t="shared" si="2"/>
        <v>0</v>
      </c>
      <c r="H10" s="98">
        <f t="shared" si="3"/>
        <v>0</v>
      </c>
      <c r="I10" s="98">
        <f t="shared" si="5"/>
        <v>0</v>
      </c>
      <c r="J10" s="96"/>
      <c r="K10" s="86"/>
      <c r="L10" s="86"/>
      <c r="M10" s="86"/>
      <c r="N10" s="86"/>
      <c r="O10" s="86"/>
      <c r="P10" s="86"/>
      <c r="Q10" s="86"/>
      <c r="R10" s="92"/>
    </row>
    <row r="11">
      <c r="A11" s="85"/>
      <c r="B11" s="95">
        <v>8.0</v>
      </c>
      <c r="C11" s="97"/>
      <c r="D11" s="94"/>
      <c r="E11" s="98">
        <f t="shared" si="4"/>
        <v>0</v>
      </c>
      <c r="F11" s="98">
        <f t="shared" si="1"/>
        <v>0</v>
      </c>
      <c r="G11" s="98">
        <f t="shared" si="2"/>
        <v>0</v>
      </c>
      <c r="H11" s="98">
        <f t="shared" si="3"/>
        <v>0</v>
      </c>
      <c r="I11" s="98">
        <f t="shared" si="5"/>
        <v>0</v>
      </c>
      <c r="J11" s="96"/>
      <c r="K11" s="86"/>
      <c r="L11" s="86"/>
      <c r="M11" s="86"/>
      <c r="N11" s="86"/>
      <c r="O11" s="86"/>
      <c r="P11" s="86"/>
      <c r="Q11" s="86"/>
      <c r="R11" s="92"/>
    </row>
    <row r="12">
      <c r="A12" s="85"/>
      <c r="B12" s="95">
        <v>9.0</v>
      </c>
      <c r="C12" s="97"/>
      <c r="D12" s="94"/>
      <c r="E12" s="98">
        <f t="shared" si="4"/>
        <v>0</v>
      </c>
      <c r="F12" s="98">
        <f t="shared" si="1"/>
        <v>0</v>
      </c>
      <c r="G12" s="98">
        <f t="shared" si="2"/>
        <v>0</v>
      </c>
      <c r="H12" s="98">
        <f t="shared" si="3"/>
        <v>0</v>
      </c>
      <c r="I12" s="98">
        <f t="shared" si="5"/>
        <v>0</v>
      </c>
      <c r="J12" s="96"/>
      <c r="K12" s="86"/>
      <c r="L12" s="86"/>
      <c r="M12" s="86"/>
      <c r="N12" s="86"/>
      <c r="O12" s="86"/>
      <c r="P12" s="86"/>
      <c r="Q12" s="86"/>
      <c r="R12" s="92"/>
    </row>
    <row r="13">
      <c r="A13" s="85"/>
      <c r="B13" s="95">
        <v>10.0</v>
      </c>
      <c r="C13" s="97"/>
      <c r="D13" s="94"/>
      <c r="E13" s="98">
        <f t="shared" si="4"/>
        <v>0</v>
      </c>
      <c r="F13" s="98">
        <f t="shared" si="1"/>
        <v>0</v>
      </c>
      <c r="G13" s="98">
        <f t="shared" si="2"/>
        <v>0</v>
      </c>
      <c r="H13" s="98">
        <f t="shared" si="3"/>
        <v>0</v>
      </c>
      <c r="I13" s="98">
        <f t="shared" si="5"/>
        <v>0</v>
      </c>
      <c r="J13" s="96"/>
      <c r="K13" s="86"/>
      <c r="L13" s="86"/>
      <c r="M13" s="86"/>
      <c r="N13" s="86"/>
      <c r="O13" s="86"/>
      <c r="P13" s="86"/>
      <c r="Q13" s="86"/>
      <c r="R13" s="92"/>
    </row>
    <row r="14">
      <c r="A14" s="85"/>
      <c r="B14" s="95">
        <v>11.0</v>
      </c>
      <c r="C14" s="97"/>
      <c r="D14" s="94"/>
      <c r="E14" s="98">
        <f t="shared" si="4"/>
        <v>0</v>
      </c>
      <c r="F14" s="98">
        <f t="shared" si="1"/>
        <v>0</v>
      </c>
      <c r="G14" s="98">
        <f t="shared" si="2"/>
        <v>0</v>
      </c>
      <c r="H14" s="98">
        <f t="shared" si="3"/>
        <v>0</v>
      </c>
      <c r="I14" s="98">
        <f t="shared" si="5"/>
        <v>0</v>
      </c>
      <c r="J14" s="96"/>
      <c r="K14" s="86"/>
      <c r="L14" s="86"/>
      <c r="M14" s="86"/>
      <c r="N14" s="86"/>
      <c r="O14" s="86"/>
      <c r="P14" s="86"/>
      <c r="Q14" s="86"/>
      <c r="R14" s="92"/>
    </row>
    <row r="15">
      <c r="A15" s="85"/>
      <c r="B15" s="95">
        <v>12.0</v>
      </c>
      <c r="C15" s="97"/>
      <c r="D15" s="94"/>
      <c r="E15" s="98">
        <f t="shared" si="4"/>
        <v>0</v>
      </c>
      <c r="F15" s="98">
        <f t="shared" si="1"/>
        <v>0</v>
      </c>
      <c r="G15" s="98">
        <f t="shared" si="2"/>
        <v>0</v>
      </c>
      <c r="H15" s="98">
        <f t="shared" si="3"/>
        <v>0</v>
      </c>
      <c r="I15" s="98">
        <f t="shared" si="5"/>
        <v>0</v>
      </c>
      <c r="J15" s="96"/>
      <c r="K15" s="86"/>
      <c r="L15" s="86"/>
      <c r="M15" s="86"/>
      <c r="N15" s="86"/>
      <c r="O15" s="86"/>
      <c r="P15" s="86"/>
      <c r="Q15" s="86"/>
      <c r="R15" s="92"/>
    </row>
    <row r="16">
      <c r="A16" s="85"/>
      <c r="B16" s="95">
        <v>13.0</v>
      </c>
      <c r="C16" s="97"/>
      <c r="D16" s="94"/>
      <c r="E16" s="98">
        <f t="shared" si="4"/>
        <v>0</v>
      </c>
      <c r="F16" s="98">
        <f t="shared" si="1"/>
        <v>0</v>
      </c>
      <c r="G16" s="98">
        <f t="shared" si="2"/>
        <v>0</v>
      </c>
      <c r="H16" s="98">
        <f t="shared" si="3"/>
        <v>0</v>
      </c>
      <c r="I16" s="98">
        <f t="shared" si="5"/>
        <v>0</v>
      </c>
      <c r="J16" s="96"/>
      <c r="K16" s="86"/>
      <c r="L16" s="86"/>
      <c r="M16" s="86"/>
      <c r="N16" s="86"/>
      <c r="O16" s="86"/>
      <c r="P16" s="86"/>
      <c r="Q16" s="86"/>
      <c r="R16" s="92"/>
    </row>
    <row r="17">
      <c r="A17" s="85"/>
      <c r="B17" s="95">
        <v>14.0</v>
      </c>
      <c r="C17" s="97"/>
      <c r="D17" s="94"/>
      <c r="E17" s="98">
        <f t="shared" si="4"/>
        <v>0</v>
      </c>
      <c r="F17" s="98">
        <f t="shared" si="1"/>
        <v>0</v>
      </c>
      <c r="G17" s="98">
        <f t="shared" si="2"/>
        <v>0</v>
      </c>
      <c r="H17" s="98">
        <f t="shared" si="3"/>
        <v>0</v>
      </c>
      <c r="I17" s="98">
        <f t="shared" si="5"/>
        <v>0</v>
      </c>
      <c r="J17" s="96"/>
      <c r="K17" s="86"/>
      <c r="L17" s="86"/>
      <c r="M17" s="86"/>
      <c r="N17" s="86"/>
      <c r="O17" s="86"/>
      <c r="P17" s="86"/>
      <c r="Q17" s="86"/>
      <c r="R17" s="92"/>
    </row>
    <row r="18">
      <c r="A18" s="85"/>
      <c r="B18" s="95">
        <v>15.0</v>
      </c>
      <c r="C18" s="97"/>
      <c r="D18" s="94"/>
      <c r="E18" s="98">
        <f t="shared" si="4"/>
        <v>0</v>
      </c>
      <c r="F18" s="98">
        <f t="shared" si="1"/>
        <v>0</v>
      </c>
      <c r="G18" s="98">
        <f t="shared" si="2"/>
        <v>0</v>
      </c>
      <c r="H18" s="98">
        <f t="shared" si="3"/>
        <v>0</v>
      </c>
      <c r="I18" s="98">
        <f t="shared" si="5"/>
        <v>0</v>
      </c>
      <c r="J18" s="96"/>
      <c r="K18" s="86"/>
      <c r="L18" s="86"/>
      <c r="M18" s="86"/>
      <c r="N18" s="86"/>
      <c r="O18" s="86"/>
      <c r="P18" s="86"/>
      <c r="Q18" s="86"/>
      <c r="R18" s="92"/>
    </row>
    <row r="19">
      <c r="A19" s="85"/>
      <c r="B19" s="95">
        <v>16.0</v>
      </c>
      <c r="C19" s="97"/>
      <c r="D19" s="94"/>
      <c r="E19" s="98">
        <f t="shared" si="4"/>
        <v>0</v>
      </c>
      <c r="F19" s="98">
        <f t="shared" si="1"/>
        <v>0</v>
      </c>
      <c r="G19" s="98">
        <f t="shared" si="2"/>
        <v>0</v>
      </c>
      <c r="H19" s="98">
        <f t="shared" si="3"/>
        <v>0</v>
      </c>
      <c r="I19" s="98">
        <f t="shared" si="5"/>
        <v>0</v>
      </c>
      <c r="J19" s="96"/>
      <c r="K19" s="86"/>
      <c r="L19" s="86"/>
      <c r="M19" s="86"/>
      <c r="N19" s="86"/>
      <c r="O19" s="86"/>
      <c r="P19" s="86"/>
      <c r="Q19" s="86"/>
      <c r="R19" s="92"/>
    </row>
    <row r="20">
      <c r="A20" s="85"/>
      <c r="B20" s="95">
        <v>17.0</v>
      </c>
      <c r="C20" s="97"/>
      <c r="D20" s="94"/>
      <c r="E20" s="98">
        <f t="shared" si="4"/>
        <v>0</v>
      </c>
      <c r="F20" s="98">
        <f t="shared" si="1"/>
        <v>0</v>
      </c>
      <c r="G20" s="98">
        <f t="shared" si="2"/>
        <v>0</v>
      </c>
      <c r="H20" s="98">
        <f t="shared" si="3"/>
        <v>0</v>
      </c>
      <c r="I20" s="98">
        <f t="shared" si="5"/>
        <v>0</v>
      </c>
      <c r="J20" s="96"/>
      <c r="K20" s="86"/>
      <c r="L20" s="86"/>
      <c r="M20" s="86"/>
      <c r="N20" s="86"/>
      <c r="O20" s="86"/>
      <c r="P20" s="86"/>
      <c r="Q20" s="86"/>
      <c r="R20" s="92"/>
    </row>
    <row r="21">
      <c r="A21" s="85"/>
      <c r="B21" s="95">
        <v>18.0</v>
      </c>
      <c r="C21" s="97"/>
      <c r="D21" s="94"/>
      <c r="E21" s="98">
        <f t="shared" si="4"/>
        <v>0</v>
      </c>
      <c r="F21" s="98">
        <f t="shared" si="1"/>
        <v>0</v>
      </c>
      <c r="G21" s="98">
        <f t="shared" si="2"/>
        <v>0</v>
      </c>
      <c r="H21" s="98">
        <f t="shared" si="3"/>
        <v>0</v>
      </c>
      <c r="I21" s="98">
        <f t="shared" si="5"/>
        <v>0</v>
      </c>
      <c r="J21" s="96"/>
      <c r="K21" s="86"/>
      <c r="L21" s="86"/>
      <c r="M21" s="86"/>
      <c r="N21" s="86"/>
      <c r="O21" s="86"/>
      <c r="P21" s="86"/>
      <c r="Q21" s="86"/>
      <c r="R21" s="92"/>
    </row>
    <row r="22">
      <c r="A22" s="85"/>
      <c r="B22" s="91"/>
      <c r="C22" s="88"/>
      <c r="D22" s="88"/>
      <c r="E22" s="88"/>
      <c r="F22" s="88"/>
      <c r="G22" s="88"/>
      <c r="H22" s="88"/>
      <c r="I22" s="88"/>
      <c r="J22" s="86"/>
      <c r="K22" s="86"/>
      <c r="L22" s="86"/>
      <c r="M22" s="86"/>
      <c r="N22" s="86"/>
      <c r="O22" s="86"/>
      <c r="P22" s="86"/>
      <c r="Q22" s="86"/>
      <c r="R22" s="92"/>
    </row>
    <row r="23">
      <c r="A23" s="85"/>
      <c r="B23" s="88"/>
      <c r="C23" s="88"/>
      <c r="D23" s="88"/>
      <c r="E23" s="88"/>
      <c r="F23" s="88"/>
      <c r="G23" s="88"/>
      <c r="H23" s="88"/>
      <c r="I23" s="88"/>
      <c r="J23" s="86"/>
      <c r="K23" s="86"/>
      <c r="L23" s="86"/>
      <c r="M23" s="86"/>
      <c r="N23" s="86"/>
      <c r="O23" s="86"/>
      <c r="P23" s="86"/>
      <c r="Q23" s="86"/>
      <c r="R23" s="92"/>
    </row>
    <row r="24">
      <c r="A24" s="85"/>
      <c r="B24" s="103" t="s">
        <v>186</v>
      </c>
      <c r="R24" s="92"/>
    </row>
    <row r="25">
      <c r="A25" s="85"/>
      <c r="R25" s="92"/>
    </row>
    <row r="26">
      <c r="A26" s="85"/>
      <c r="B26" s="88"/>
      <c r="C26" s="88"/>
      <c r="D26" s="88"/>
      <c r="E26" s="88"/>
      <c r="F26" s="88"/>
      <c r="G26" s="88"/>
      <c r="H26" s="88"/>
      <c r="I26" s="88"/>
      <c r="J26" s="92"/>
      <c r="K26" s="92"/>
      <c r="L26" s="92"/>
      <c r="M26" s="92"/>
      <c r="N26" s="92"/>
      <c r="O26" s="92"/>
      <c r="P26" s="92"/>
      <c r="Q26" s="92"/>
      <c r="R26" s="92"/>
    </row>
    <row r="27">
      <c r="A27" s="104" t="s">
        <v>2</v>
      </c>
      <c r="B27" s="105" t="s">
        <v>3</v>
      </c>
      <c r="C27" s="105" t="s">
        <v>4</v>
      </c>
      <c r="D27" s="105" t="s">
        <v>5</v>
      </c>
      <c r="E27" s="105" t="s">
        <v>6</v>
      </c>
      <c r="F27" s="105" t="s">
        <v>7</v>
      </c>
      <c r="G27" s="105" t="s">
        <v>8</v>
      </c>
      <c r="H27" s="105" t="s">
        <v>9</v>
      </c>
      <c r="I27" s="105" t="s">
        <v>10</v>
      </c>
      <c r="J27" s="105" t="s">
        <v>11</v>
      </c>
      <c r="K27" s="105" t="s">
        <v>12</v>
      </c>
      <c r="L27" s="105" t="s">
        <v>13</v>
      </c>
      <c r="M27" s="105" t="s">
        <v>14</v>
      </c>
      <c r="N27" s="105" t="s">
        <v>15</v>
      </c>
      <c r="O27" s="105" t="s">
        <v>16</v>
      </c>
      <c r="P27" s="105" t="s">
        <v>17</v>
      </c>
      <c r="Q27" s="105" t="s">
        <v>18</v>
      </c>
      <c r="R27" s="106" t="s">
        <v>35</v>
      </c>
    </row>
    <row r="28">
      <c r="A28" s="104" t="str">
        <f>Actuals!B4</f>
        <v>Adrian C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8">
        <f t="shared" ref="R28:R88" si="6">sum(B28:Q28)</f>
        <v>0</v>
      </c>
    </row>
    <row r="29">
      <c r="A29" s="104" t="str">
        <f>Actuals!B5</f>
        <v>Alan D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8">
        <f t="shared" si="6"/>
        <v>0</v>
      </c>
    </row>
    <row r="30">
      <c r="A30" s="104" t="str">
        <f>Actuals!B6</f>
        <v>Baxter C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8">
        <f t="shared" si="6"/>
        <v>0</v>
      </c>
    </row>
    <row r="31">
      <c r="A31" s="104" t="str">
        <f>Actuals!B7</f>
        <v>Bill Morton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8">
        <f t="shared" si="6"/>
        <v>0</v>
      </c>
    </row>
    <row r="32">
      <c r="A32" s="104" t="str">
        <f>Actuals!B8</f>
        <v>Brian M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8">
        <f t="shared" si="6"/>
        <v>0</v>
      </c>
    </row>
    <row r="33">
      <c r="A33" s="104" t="str">
        <f>Actuals!B9</f>
        <v>Bruce Marburger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8">
        <f t="shared" si="6"/>
        <v>0</v>
      </c>
    </row>
    <row r="34">
      <c r="A34" s="104" t="str">
        <f>Actuals!B10</f>
        <v>Cole L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8">
        <f t="shared" si="6"/>
        <v>0</v>
      </c>
    </row>
    <row r="35">
      <c r="A35" s="104" t="str">
        <f>Actuals!B11</f>
        <v>Danny C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8">
        <f t="shared" si="6"/>
        <v>0</v>
      </c>
    </row>
    <row r="36">
      <c r="A36" s="104" t="str">
        <f>Actuals!B12</f>
        <v>Eddie G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8">
        <f t="shared" si="6"/>
        <v>0</v>
      </c>
    </row>
    <row r="37">
      <c r="A37" s="104" t="str">
        <f>Actuals!B13</f>
        <v>Grant G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8">
        <f t="shared" si="6"/>
        <v>0</v>
      </c>
    </row>
    <row r="38">
      <c r="A38" s="104" t="str">
        <f>Actuals!B14</f>
        <v>Jeff H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8">
        <f t="shared" si="6"/>
        <v>0</v>
      </c>
    </row>
    <row r="39">
      <c r="A39" s="104" t="str">
        <f>Actuals!B15</f>
        <v>Jenna T</v>
      </c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8">
        <f t="shared" si="6"/>
        <v>0</v>
      </c>
    </row>
    <row r="40">
      <c r="A40" s="104" t="str">
        <f>Actuals!B16</f>
        <v>Jeremy H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8">
        <f t="shared" si="6"/>
        <v>0</v>
      </c>
    </row>
    <row r="41">
      <c r="A41" s="104" t="str">
        <f>Actuals!B17</f>
        <v>Jeremy S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8">
        <f t="shared" si="6"/>
        <v>0</v>
      </c>
    </row>
    <row r="42">
      <c r="A42" s="104" t="str">
        <f>Actuals!B18</f>
        <v>Jon L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8">
        <f t="shared" si="6"/>
        <v>0</v>
      </c>
    </row>
    <row r="43">
      <c r="A43" s="104" t="str">
        <f>Actuals!B19</f>
        <v>Jonah R</v>
      </c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8">
        <f t="shared" si="6"/>
        <v>0</v>
      </c>
    </row>
    <row r="44">
      <c r="A44" s="104" t="str">
        <f>Actuals!B20</f>
        <v>Jordan V</v>
      </c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8">
        <f t="shared" si="6"/>
        <v>0</v>
      </c>
    </row>
    <row r="45">
      <c r="A45" s="104" t="str">
        <f>Actuals!B21</f>
        <v>Kyle N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8">
        <f t="shared" si="6"/>
        <v>0</v>
      </c>
    </row>
    <row r="46">
      <c r="A46" s="104" t="str">
        <f>Actuals!B22</f>
        <v>Laura L</v>
      </c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8">
        <f t="shared" si="6"/>
        <v>0</v>
      </c>
    </row>
    <row r="47">
      <c r="A47" s="104" t="str">
        <f>Actuals!B23</f>
        <v>Luke W</v>
      </c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8">
        <f t="shared" si="6"/>
        <v>0</v>
      </c>
    </row>
    <row r="48">
      <c r="A48" s="104" t="str">
        <f>Actuals!B24</f>
        <v>Marc C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8">
        <f t="shared" si="6"/>
        <v>0</v>
      </c>
    </row>
    <row r="49">
      <c r="A49" s="104" t="str">
        <f>Actuals!B25</f>
        <v>Mark M</v>
      </c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8">
        <f t="shared" si="6"/>
        <v>0</v>
      </c>
    </row>
    <row r="50">
      <c r="A50" s="104" t="str">
        <f>Actuals!B26</f>
        <v>Martin R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8">
        <f t="shared" si="6"/>
        <v>0</v>
      </c>
    </row>
    <row r="51">
      <c r="A51" s="104" t="str">
        <f>Actuals!B27</f>
        <v>Minji S</v>
      </c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8">
        <f t="shared" si="6"/>
        <v>0</v>
      </c>
    </row>
    <row r="52">
      <c r="A52" s="104" t="str">
        <f>Actuals!B28</f>
        <v>Nate R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8">
        <f t="shared" si="6"/>
        <v>0</v>
      </c>
    </row>
    <row r="53">
      <c r="A53" s="104" t="str">
        <f>Actuals!B29</f>
        <v>Phil J</v>
      </c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8">
        <f t="shared" si="6"/>
        <v>0</v>
      </c>
    </row>
    <row r="54">
      <c r="A54" s="104" t="str">
        <f>Actuals!B30</f>
        <v>Preston C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8">
        <f t="shared" si="6"/>
        <v>0</v>
      </c>
    </row>
    <row r="55">
      <c r="A55" s="104" t="str">
        <f>Actuals!B31</f>
        <v>Rich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8">
        <f t="shared" si="6"/>
        <v>0</v>
      </c>
    </row>
    <row r="56">
      <c r="A56" s="104" t="str">
        <f>Actuals!B32</f>
        <v>Russ B</v>
      </c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8">
        <f t="shared" si="6"/>
        <v>0</v>
      </c>
    </row>
    <row r="57">
      <c r="A57" s="104" t="str">
        <f>Actuals!B33</f>
        <v>Russ H</v>
      </c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8">
        <f t="shared" si="6"/>
        <v>0</v>
      </c>
    </row>
    <row r="58">
      <c r="A58" s="104" t="str">
        <f>Actuals!B34</f>
        <v>Ryan R</v>
      </c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8">
        <f t="shared" si="6"/>
        <v>0</v>
      </c>
    </row>
    <row r="59">
      <c r="A59" s="104" t="str">
        <f>Actuals!B35</f>
        <v>Scott M</v>
      </c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8">
        <f t="shared" si="6"/>
        <v>0</v>
      </c>
    </row>
    <row r="60">
      <c r="A60" s="104" t="str">
        <f>Actuals!B36</f>
        <v>Seth A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8">
        <f t="shared" si="6"/>
        <v>0</v>
      </c>
    </row>
    <row r="61">
      <c r="A61" s="104" t="str">
        <f>Actuals!B37</f>
        <v>Simon R</v>
      </c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8">
        <f t="shared" si="6"/>
        <v>0</v>
      </c>
    </row>
    <row r="62">
      <c r="A62" s="104" t="str">
        <f>Actuals!B38</f>
        <v>Steve S</v>
      </c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8">
        <f t="shared" si="6"/>
        <v>0</v>
      </c>
    </row>
    <row r="63">
      <c r="A63" s="104" t="str">
        <f>Actuals!B39</f>
        <v>Tanner Brown</v>
      </c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8">
        <f t="shared" si="6"/>
        <v>0</v>
      </c>
    </row>
    <row r="64">
      <c r="A64" s="104" t="str">
        <f>Actuals!B40</f>
        <v>Tanner Buechele</v>
      </c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8">
        <f t="shared" si="6"/>
        <v>0</v>
      </c>
    </row>
    <row r="65">
      <c r="A65" s="104" t="str">
        <f>Actuals!B41</f>
        <v>Thomas Y</v>
      </c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8">
        <f t="shared" si="6"/>
        <v>0</v>
      </c>
    </row>
    <row r="66">
      <c r="A66" s="104" t="str">
        <f>Actuals!B42</f>
        <v>Tom B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8">
        <f t="shared" si="6"/>
        <v>0</v>
      </c>
    </row>
    <row r="67">
      <c r="A67" s="104" t="str">
        <f>Actuals!B43</f>
        <v>Tommy</v>
      </c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8">
        <f t="shared" si="6"/>
        <v>0</v>
      </c>
    </row>
    <row r="68">
      <c r="A68" s="104" t="str">
        <f>Actuals!B44</f>
        <v>Walt S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8">
        <f t="shared" si="6"/>
        <v>0</v>
      </c>
    </row>
    <row r="69">
      <c r="A69" s="104" t="str">
        <f>Actuals!B45</f>
        <v>James D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8">
        <f t="shared" si="6"/>
        <v>0</v>
      </c>
    </row>
    <row r="70">
      <c r="A70" s="104" t="str">
        <f>Actuals!B46</f>
        <v>Josh Norris</v>
      </c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8">
        <f t="shared" si="6"/>
        <v>0</v>
      </c>
    </row>
    <row r="71">
      <c r="A71" s="104" t="str">
        <f>Actuals!B47</f>
        <v>Simon Sr</v>
      </c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8">
        <f t="shared" si="6"/>
        <v>0</v>
      </c>
    </row>
    <row r="72">
      <c r="A72" s="104" t="str">
        <f>Actuals!B48</f>
        <v>Francisco</v>
      </c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8">
        <f t="shared" si="6"/>
        <v>0</v>
      </c>
    </row>
    <row r="73">
      <c r="A73" s="104" t="str">
        <f>Actuals!B49</f>
        <v>Cam King</v>
      </c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8">
        <f t="shared" si="6"/>
        <v>0</v>
      </c>
    </row>
    <row r="74">
      <c r="A74" s="104" t="str">
        <f>Actuals!B50</f>
        <v>Dan K</v>
      </c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8">
        <f t="shared" si="6"/>
        <v>0</v>
      </c>
    </row>
    <row r="75">
      <c r="A75" s="104" t="str">
        <f>Actuals!B51</f>
        <v>Davis</v>
      </c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8">
        <f t="shared" si="6"/>
        <v>0</v>
      </c>
    </row>
    <row r="76">
      <c r="A76" s="104" t="str">
        <f>Actuals!B52</f>
        <v>Amanda C</v>
      </c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8">
        <f t="shared" si="6"/>
        <v>0</v>
      </c>
    </row>
    <row r="77">
      <c r="A77" s="104" t="str">
        <f>Actuals!B53</f>
        <v>blank9</v>
      </c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8">
        <f t="shared" si="6"/>
        <v>0</v>
      </c>
    </row>
    <row r="78">
      <c r="A78" s="104" t="str">
        <f>Actuals!B54</f>
        <v>blank10</v>
      </c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8">
        <f t="shared" si="6"/>
        <v>0</v>
      </c>
    </row>
    <row r="79">
      <c r="A79" s="104" t="str">
        <f>Actuals!B55</f>
        <v>blank11</v>
      </c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8">
        <f t="shared" si="6"/>
        <v>0</v>
      </c>
    </row>
    <row r="80">
      <c r="A80" s="104" t="str">
        <f>Actuals!B56</f>
        <v>blank12</v>
      </c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8">
        <f t="shared" si="6"/>
        <v>0</v>
      </c>
    </row>
    <row r="81">
      <c r="A81" s="104" t="str">
        <f>Actuals!B57</f>
        <v>blank13</v>
      </c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8">
        <f t="shared" si="6"/>
        <v>0</v>
      </c>
    </row>
    <row r="82">
      <c r="A82" s="104" t="str">
        <f>Actuals!B58</f>
        <v>blank14</v>
      </c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8">
        <f t="shared" si="6"/>
        <v>0</v>
      </c>
    </row>
    <row r="83">
      <c r="A83" s="104" t="str">
        <f>Actuals!B59</f>
        <v>blank15</v>
      </c>
      <c r="B83" s="107"/>
      <c r="C83" s="107"/>
      <c r="D83" s="109"/>
      <c r="E83" s="107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8">
        <f t="shared" si="6"/>
        <v>0</v>
      </c>
    </row>
    <row r="84">
      <c r="A84" s="104" t="str">
        <f>Actuals!B60</f>
        <v>blank16</v>
      </c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8">
        <f t="shared" si="6"/>
        <v>0</v>
      </c>
    </row>
    <row r="85">
      <c r="A85" s="104" t="str">
        <f>Actuals!B61</f>
        <v>blank17</v>
      </c>
      <c r="B85" s="109"/>
      <c r="C85" s="109"/>
      <c r="D85" s="109"/>
      <c r="E85" s="109"/>
      <c r="F85" s="107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8">
        <f t="shared" si="6"/>
        <v>0</v>
      </c>
    </row>
    <row r="86">
      <c r="A86" s="104" t="str">
        <f>Actuals!B62</f>
        <v>blank18</v>
      </c>
      <c r="B86" s="109"/>
      <c r="C86" s="109"/>
      <c r="D86" s="109"/>
      <c r="E86" s="107"/>
      <c r="F86" s="107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8">
        <f t="shared" si="6"/>
        <v>0</v>
      </c>
    </row>
    <row r="87">
      <c r="A87" s="104" t="str">
        <f>Actuals!B63</f>
        <v>blank19</v>
      </c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7"/>
      <c r="P87" s="109"/>
      <c r="Q87" s="109"/>
      <c r="R87" s="108">
        <f t="shared" si="6"/>
        <v>0</v>
      </c>
    </row>
    <row r="88">
      <c r="A88" s="104" t="str">
        <f>Actuals!B64</f>
        <v>blank20</v>
      </c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8">
        <f t="shared" si="6"/>
        <v>0</v>
      </c>
    </row>
    <row r="89">
      <c r="A89" s="104" t="str">
        <f>Actuals!B65</f>
        <v>blank21</v>
      </c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10"/>
    </row>
    <row r="90">
      <c r="A90" s="104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10"/>
    </row>
    <row r="91">
      <c r="A91" s="104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10"/>
    </row>
  </sheetData>
  <mergeCells count="1">
    <mergeCell ref="B24:Q25"/>
  </mergeCells>
  <drawing r:id="rId2"/>
  <legacyDrawing r:id="rId3"/>
  <tableParts count="3"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3.0"/>
    <col customWidth="1" min="3" max="3" width="6.38"/>
    <col customWidth="1" min="4" max="4" width="5.25"/>
    <col customWidth="1" min="5" max="5" width="6.75"/>
  </cols>
  <sheetData>
    <row r="1">
      <c r="A1" s="87"/>
      <c r="B1" s="86"/>
      <c r="C1" s="111"/>
      <c r="D1" s="87"/>
      <c r="E1" s="87"/>
      <c r="F1" s="112" t="s">
        <v>187</v>
      </c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</row>
    <row r="2">
      <c r="A2" s="114" t="s">
        <v>188</v>
      </c>
      <c r="B2" s="115" t="s">
        <v>2</v>
      </c>
      <c r="C2" s="116" t="s">
        <v>44</v>
      </c>
      <c r="D2" s="114" t="s">
        <v>189</v>
      </c>
      <c r="E2" s="114" t="s">
        <v>190</v>
      </c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</row>
    <row r="3">
      <c r="A3" s="117">
        <v>1.0</v>
      </c>
      <c r="B3" s="118" t="str">
        <f t="array" ref="B3">index(Points!$A:$S,match(A3,Points!S:S,0),1,0)</f>
        <v>Brian M</v>
      </c>
      <c r="C3" s="119" t="str">
        <f t="array" ref="C3">index(Points!$A:$S,match(A3,Points!S:S,0),20,0)</f>
        <v>#NUM!</v>
      </c>
      <c r="D3" s="120" t="str">
        <f t="shared" ref="D3:D14" si="1">C3-$C$3</f>
        <v>#NUM!</v>
      </c>
      <c r="E3" s="120" t="str">
        <f t="shared" ref="E3:E14" si="2">C3-$C$10</f>
        <v>#NUM!</v>
      </c>
      <c r="F3" s="112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</row>
    <row r="4">
      <c r="A4" s="117">
        <v>2.0</v>
      </c>
      <c r="B4" s="118" t="str">
        <f t="array" ref="B4">index(Points!$A:$S,match(A4,Points!S:S,0),1,0)</f>
        <v>Marc C</v>
      </c>
      <c r="C4" s="119" t="str">
        <f t="array" ref="C4">index(Points!$A:$S,match(A4,Points!S:S,0),20,0)</f>
        <v>#NUM!</v>
      </c>
      <c r="D4" s="120" t="str">
        <f t="shared" si="1"/>
        <v>#NUM!</v>
      </c>
      <c r="E4" s="120" t="str">
        <f t="shared" si="2"/>
        <v>#NUM!</v>
      </c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</row>
    <row r="5">
      <c r="A5" s="117">
        <v>3.0</v>
      </c>
      <c r="B5" s="118" t="str">
        <f t="array" ref="B5">index(Points!$A:$S,match(A5,Points!S:S,0),1,0)</f>
        <v>Walt S</v>
      </c>
      <c r="C5" s="119" t="str">
        <f t="array" ref="C5">index(Points!$A:$S,match(A5,Points!S:S,0),20,0)</f>
        <v>#NUM!</v>
      </c>
      <c r="D5" s="120" t="str">
        <f t="shared" si="1"/>
        <v>#NUM!</v>
      </c>
      <c r="E5" s="120" t="str">
        <f t="shared" si="2"/>
        <v>#NUM!</v>
      </c>
      <c r="F5" s="112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</row>
    <row r="6">
      <c r="A6" s="117">
        <v>4.0</v>
      </c>
      <c r="B6" s="118" t="str">
        <f t="array" ref="B6">index(Points!$A:$S,match(A6,Points!S:S,0),1,0)</f>
        <v>Cam King</v>
      </c>
      <c r="C6" s="119" t="str">
        <f t="array" ref="C6">index(Points!$A:$S,match(A6,Points!S:S,0),20,0)</f>
        <v>#NUM!</v>
      </c>
      <c r="D6" s="120" t="str">
        <f t="shared" si="1"/>
        <v>#NUM!</v>
      </c>
      <c r="E6" s="120" t="str">
        <f t="shared" si="2"/>
        <v>#NUM!</v>
      </c>
      <c r="F6" s="112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</row>
    <row r="7">
      <c r="A7" s="117">
        <v>5.0</v>
      </c>
      <c r="B7" s="118" t="str">
        <f t="array" ref="B7">index(Points!$A:$S,match(A7,Points!S:S,0),1,0)</f>
        <v>Luke W</v>
      </c>
      <c r="C7" s="119" t="str">
        <f t="array" ref="C7">index(Points!$A:$S,match(A7,Points!S:S,0),20,0)</f>
        <v>#NUM!</v>
      </c>
      <c r="D7" s="120" t="str">
        <f t="shared" si="1"/>
        <v>#NUM!</v>
      </c>
      <c r="E7" s="120" t="str">
        <f t="shared" si="2"/>
        <v>#NUM!</v>
      </c>
      <c r="F7" s="112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</row>
    <row r="8">
      <c r="A8" s="117">
        <v>6.0</v>
      </c>
      <c r="B8" s="118" t="str">
        <f t="array" ref="B8">index(Points!$A:$S,match(A8,Points!S:S,0),1,0)</f>
        <v>Preston C</v>
      </c>
      <c r="C8" s="119" t="str">
        <f t="array" ref="C8">index(Points!$A:$S,match(A8,Points!S:S,0),20,0)</f>
        <v>#NUM!</v>
      </c>
      <c r="D8" s="120" t="str">
        <f t="shared" si="1"/>
        <v>#NUM!</v>
      </c>
      <c r="E8" s="120" t="str">
        <f t="shared" si="2"/>
        <v>#NUM!</v>
      </c>
      <c r="F8" s="112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</row>
    <row r="9">
      <c r="A9" s="117">
        <v>7.0</v>
      </c>
      <c r="B9" s="118" t="str">
        <f t="array" ref="B9">index(Points!$A:$S,match(A9,Points!S:S,0),1,0)</f>
        <v>Jon L</v>
      </c>
      <c r="C9" s="119" t="str">
        <f t="array" ref="C9">index(Points!$A:$S,match(A9,Points!S:S,0),20,0)</f>
        <v>#NUM!</v>
      </c>
      <c r="D9" s="120" t="str">
        <f t="shared" si="1"/>
        <v>#NUM!</v>
      </c>
      <c r="E9" s="120" t="str">
        <f t="shared" si="2"/>
        <v>#NUM!</v>
      </c>
      <c r="F9" s="112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</row>
    <row r="10">
      <c r="A10" s="117">
        <v>8.0</v>
      </c>
      <c r="B10" s="118" t="str">
        <f t="array" ref="B10">index(Points!$A:$S,match(A10,Points!S:S,0),1,0)</f>
        <v>Tanner Brown</v>
      </c>
      <c r="C10" s="119" t="str">
        <f t="array" ref="C10">index(Points!$A:$S,match(A10,Points!S:S,0),20,0)</f>
        <v>#NUM!</v>
      </c>
      <c r="D10" s="120" t="str">
        <f t="shared" si="1"/>
        <v>#NUM!</v>
      </c>
      <c r="E10" s="120" t="str">
        <f t="shared" si="2"/>
        <v>#NUM!</v>
      </c>
      <c r="F10" s="112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</row>
    <row r="11">
      <c r="A11" s="121">
        <v>9.0</v>
      </c>
      <c r="B11" s="122" t="str">
        <f t="array" ref="B11">index(Points!$A:$S,match(A11,Points!S:S,0),1,0)</f>
        <v>Mark M</v>
      </c>
      <c r="C11" s="123" t="str">
        <f t="array" ref="C11">index(Points!$A:$S,match(A11,Points!S:S,0),20,0)</f>
        <v>#NUM!</v>
      </c>
      <c r="D11" s="122" t="str">
        <f t="shared" si="1"/>
        <v>#NUM!</v>
      </c>
      <c r="E11" s="122" t="str">
        <f t="shared" si="2"/>
        <v>#NUM!</v>
      </c>
    </row>
    <row r="12">
      <c r="A12" s="121">
        <v>10.0</v>
      </c>
      <c r="B12" s="122" t="str">
        <f t="array" ref="B12">index(Points!$A:$S,match(A12,Points!S:S,0),1,0)</f>
        <v>Francisco</v>
      </c>
      <c r="C12" s="123" t="str">
        <f t="array" ref="C12">index(Points!$A:$S,match(A12,Points!S:S,0),20,0)</f>
        <v>#NUM!</v>
      </c>
      <c r="D12" s="122" t="str">
        <f t="shared" si="1"/>
        <v>#NUM!</v>
      </c>
      <c r="E12" s="122" t="str">
        <f t="shared" si="2"/>
        <v>#NUM!</v>
      </c>
    </row>
    <row r="13">
      <c r="A13" s="121">
        <v>11.0</v>
      </c>
      <c r="B13" s="122" t="str">
        <f t="array" ref="B13">index(Points!$A:$S,match(A13,Points!S:S,0),1,0)</f>
        <v>Rich</v>
      </c>
      <c r="C13" s="123" t="str">
        <f t="array" ref="C13">index(Points!$A:$S,match(A13,Points!S:S,0),20,0)</f>
        <v>#NUM!</v>
      </c>
      <c r="D13" s="122" t="str">
        <f t="shared" si="1"/>
        <v>#NUM!</v>
      </c>
      <c r="E13" s="122" t="str">
        <f t="shared" si="2"/>
        <v>#NUM!</v>
      </c>
    </row>
    <row r="14">
      <c r="A14" s="121">
        <v>12.0</v>
      </c>
      <c r="B14" s="122" t="str">
        <f t="array" ref="B14">index(Points!$A:$S,match(A14,Points!S:S,0),1,0)</f>
        <v>Dan K</v>
      </c>
      <c r="C14" s="123" t="str">
        <f t="array" ref="C14">index(Points!$A:$S,match(A14,Points!S:S,0),20,0)</f>
        <v>#NUM!</v>
      </c>
      <c r="D14" s="122" t="str">
        <f t="shared" si="1"/>
        <v>#NUM!</v>
      </c>
      <c r="E14" s="122" t="str">
        <f t="shared" si="2"/>
        <v>#NUM!</v>
      </c>
    </row>
    <row r="15">
      <c r="A15" s="121">
        <v>13.0</v>
      </c>
      <c r="B15" s="122"/>
      <c r="C15" s="123"/>
      <c r="D15" s="122"/>
      <c r="E15" s="122"/>
    </row>
    <row r="16">
      <c r="A16" s="121">
        <v>14.0</v>
      </c>
      <c r="B16" s="122"/>
      <c r="C16" s="123"/>
      <c r="D16" s="122"/>
      <c r="E16" s="122"/>
    </row>
    <row r="17">
      <c r="A17" s="121">
        <v>15.0</v>
      </c>
      <c r="B17" s="122"/>
      <c r="C17" s="123"/>
      <c r="D17" s="122"/>
      <c r="E17" s="122"/>
    </row>
    <row r="18">
      <c r="A18" s="121">
        <v>16.0</v>
      </c>
      <c r="B18" s="122"/>
      <c r="C18" s="123"/>
      <c r="D18" s="122"/>
      <c r="E18" s="122"/>
    </row>
    <row r="19">
      <c r="A19" s="121">
        <v>17.0</v>
      </c>
      <c r="B19" s="122"/>
      <c r="C19" s="123"/>
      <c r="D19" s="122"/>
      <c r="E19" s="122"/>
    </row>
    <row r="20">
      <c r="A20" s="121">
        <v>18.0</v>
      </c>
      <c r="B20" s="122"/>
      <c r="C20" s="123"/>
      <c r="D20" s="122"/>
      <c r="E20" s="122"/>
    </row>
    <row r="21">
      <c r="A21" s="121">
        <v>19.0</v>
      </c>
      <c r="B21" s="122"/>
      <c r="C21" s="123"/>
      <c r="D21" s="122"/>
      <c r="E21" s="122"/>
    </row>
    <row r="22">
      <c r="A22" s="121">
        <v>20.0</v>
      </c>
      <c r="B22" s="122"/>
      <c r="C22" s="123"/>
      <c r="D22" s="122"/>
      <c r="E22" s="122"/>
    </row>
    <row r="23">
      <c r="A23" s="121">
        <v>21.0</v>
      </c>
      <c r="B23" s="122"/>
      <c r="C23" s="123"/>
      <c r="D23" s="122"/>
      <c r="E23" s="122"/>
    </row>
    <row r="24">
      <c r="A24" s="121">
        <v>22.0</v>
      </c>
      <c r="B24" s="122"/>
      <c r="C24" s="123"/>
      <c r="D24" s="122"/>
      <c r="E24" s="122"/>
    </row>
    <row r="25">
      <c r="A25" s="121">
        <v>23.0</v>
      </c>
      <c r="B25" s="122" t="str">
        <f t="array" ref="B25">index(Points!$A:$S,match(A25,Points!S:S,0),1,0)</f>
        <v>#N/A</v>
      </c>
      <c r="C25" s="123" t="str">
        <f t="array" ref="C25">index(Points!$A:$S,match(A25,Points!S:S,0),20,0)</f>
        <v>#N/A</v>
      </c>
      <c r="D25" s="122" t="str">
        <f t="shared" ref="D25:D40" si="3">C25-$C$3</f>
        <v>#N/A</v>
      </c>
      <c r="E25" s="122" t="str">
        <f t="shared" ref="E25:E40" si="4">C25-$C$10</f>
        <v>#N/A</v>
      </c>
    </row>
    <row r="26">
      <c r="A26" s="121">
        <v>24.0</v>
      </c>
      <c r="B26" s="122" t="str">
        <f t="array" ref="B26">index(Points!$A:$S,match(A26,Points!S:S,0),1,0)</f>
        <v>#N/A</v>
      </c>
      <c r="C26" s="123" t="str">
        <f t="array" ref="C26">index(Points!$A:$S,match(A26,Points!S:S,0),20,0)</f>
        <v>#N/A</v>
      </c>
      <c r="D26" s="122" t="str">
        <f t="shared" si="3"/>
        <v>#N/A</v>
      </c>
      <c r="E26" s="122" t="str">
        <f t="shared" si="4"/>
        <v>#N/A</v>
      </c>
    </row>
    <row r="27">
      <c r="A27" s="121">
        <v>25.0</v>
      </c>
      <c r="B27" s="122" t="str">
        <f t="array" ref="B27">index(Points!$A:$S,match(A27,Points!S:S,0),1,0)</f>
        <v>#N/A</v>
      </c>
      <c r="C27" s="123" t="str">
        <f t="array" ref="C27">index(Points!$A:$S,match(A27,Points!S:S,0),20,0)</f>
        <v>#N/A</v>
      </c>
      <c r="D27" s="122" t="str">
        <f t="shared" si="3"/>
        <v>#N/A</v>
      </c>
      <c r="E27" s="122" t="str">
        <f t="shared" si="4"/>
        <v>#N/A</v>
      </c>
    </row>
    <row r="28">
      <c r="A28" s="121">
        <v>26.0</v>
      </c>
      <c r="B28" s="122" t="str">
        <f t="array" ref="B28">index(Points!$A:$S,match(A28,Points!S:S,0),1,0)</f>
        <v>#N/A</v>
      </c>
      <c r="C28" s="123" t="str">
        <f t="array" ref="C28">index(Points!$A:$S,match(A28,Points!S:S,0),20,0)</f>
        <v>#N/A</v>
      </c>
      <c r="D28" s="122" t="str">
        <f t="shared" si="3"/>
        <v>#N/A</v>
      </c>
      <c r="E28" s="122" t="str">
        <f t="shared" si="4"/>
        <v>#N/A</v>
      </c>
    </row>
    <row r="29">
      <c r="A29" s="121">
        <v>27.0</v>
      </c>
      <c r="B29" s="122" t="str">
        <f t="array" ref="B29">index(Points!$A:$S,match(A29,Points!S:S,0),1,0)</f>
        <v>#N/A</v>
      </c>
      <c r="C29" s="123" t="str">
        <f t="array" ref="C29">index(Points!$A:$S,match(A29,Points!S:S,0),20,0)</f>
        <v>#N/A</v>
      </c>
      <c r="D29" s="122" t="str">
        <f t="shared" si="3"/>
        <v>#N/A</v>
      </c>
      <c r="E29" s="122" t="str">
        <f t="shared" si="4"/>
        <v>#N/A</v>
      </c>
    </row>
    <row r="30">
      <c r="A30" s="121">
        <v>28.0</v>
      </c>
      <c r="B30" s="122" t="str">
        <f t="array" ref="B30">index(Points!$A:$S,match(A30,Points!S:S,0),1,0)</f>
        <v>#N/A</v>
      </c>
      <c r="C30" s="123" t="str">
        <f t="array" ref="C30">index(Points!$A:$S,match(A30,Points!S:S,0),20,0)</f>
        <v>#N/A</v>
      </c>
      <c r="D30" s="122" t="str">
        <f t="shared" si="3"/>
        <v>#N/A</v>
      </c>
      <c r="E30" s="122" t="str">
        <f t="shared" si="4"/>
        <v>#N/A</v>
      </c>
    </row>
    <row r="31">
      <c r="A31" s="121">
        <v>29.0</v>
      </c>
      <c r="B31" s="122" t="str">
        <f t="array" ref="B31">index(Points!$A:$S,match(A31,Points!S:S,0),1,0)</f>
        <v>#N/A</v>
      </c>
      <c r="C31" s="123" t="str">
        <f t="array" ref="C31">index(Points!$A:$S,match(A31,Points!S:S,0),20,0)</f>
        <v>#N/A</v>
      </c>
      <c r="D31" s="122" t="str">
        <f t="shared" si="3"/>
        <v>#N/A</v>
      </c>
      <c r="E31" s="122" t="str">
        <f t="shared" si="4"/>
        <v>#N/A</v>
      </c>
    </row>
    <row r="32">
      <c r="A32" s="121">
        <v>30.0</v>
      </c>
      <c r="B32" s="122" t="str">
        <f t="array" ref="B32">index(Points!$A:$S,match(A32,Points!S:S,0),1,0)</f>
        <v>#N/A</v>
      </c>
      <c r="C32" s="123" t="str">
        <f t="array" ref="C32">index(Points!$A:$S,match(A32,Points!S:S,0),20,0)</f>
        <v>#N/A</v>
      </c>
      <c r="D32" s="122" t="str">
        <f t="shared" si="3"/>
        <v>#N/A</v>
      </c>
      <c r="E32" s="122" t="str">
        <f t="shared" si="4"/>
        <v>#N/A</v>
      </c>
    </row>
    <row r="33">
      <c r="A33" s="121">
        <v>31.0</v>
      </c>
      <c r="B33" s="122" t="str">
        <f t="array" ref="B33">index(Points!$A:$S,match(A33,Points!S:S,0),1,0)</f>
        <v>#N/A</v>
      </c>
      <c r="C33" s="123" t="str">
        <f t="array" ref="C33">index(Points!$A:$S,match(A33,Points!S:S,0),20,0)</f>
        <v>#N/A</v>
      </c>
      <c r="D33" s="122" t="str">
        <f t="shared" si="3"/>
        <v>#N/A</v>
      </c>
      <c r="E33" s="122" t="str">
        <f t="shared" si="4"/>
        <v>#N/A</v>
      </c>
    </row>
    <row r="34">
      <c r="A34" s="121">
        <v>32.0</v>
      </c>
      <c r="B34" s="122" t="str">
        <f t="array" ref="B34">index(Points!$A:$S,match(A34,Points!S:S,0),1,0)</f>
        <v>#N/A</v>
      </c>
      <c r="C34" s="123" t="str">
        <f t="array" ref="C34">index(Points!$A:$S,match(A34,Points!S:S,0),20,0)</f>
        <v>#N/A</v>
      </c>
      <c r="D34" s="122" t="str">
        <f t="shared" si="3"/>
        <v>#N/A</v>
      </c>
      <c r="E34" s="122" t="str">
        <f t="shared" si="4"/>
        <v>#N/A</v>
      </c>
    </row>
    <row r="35">
      <c r="A35" s="121">
        <v>33.0</v>
      </c>
      <c r="B35" s="122" t="str">
        <f t="array" ref="B35">index(Points!$A:$S,match(A35,Points!S:S,0),1,0)</f>
        <v>#N/A</v>
      </c>
      <c r="C35" s="123" t="str">
        <f t="array" ref="C35">index(Points!$A:$S,match(A35,Points!S:S,0),20,0)</f>
        <v>#N/A</v>
      </c>
      <c r="D35" s="122" t="str">
        <f t="shared" si="3"/>
        <v>#N/A</v>
      </c>
      <c r="E35" s="122" t="str">
        <f t="shared" si="4"/>
        <v>#N/A</v>
      </c>
    </row>
    <row r="36">
      <c r="A36" s="121">
        <v>34.0</v>
      </c>
      <c r="B36" s="122" t="str">
        <f t="array" ref="B36">index(Points!$A:$S,match(A36,Points!S:S,0),1,0)</f>
        <v>#N/A</v>
      </c>
      <c r="C36" s="123" t="str">
        <f t="array" ref="C36">index(Points!$A:$S,match(A36,Points!S:S,0),20,0)</f>
        <v>#N/A</v>
      </c>
      <c r="D36" s="122" t="str">
        <f t="shared" si="3"/>
        <v>#N/A</v>
      </c>
      <c r="E36" s="122" t="str">
        <f t="shared" si="4"/>
        <v>#N/A</v>
      </c>
    </row>
    <row r="37">
      <c r="A37" s="121">
        <v>35.0</v>
      </c>
      <c r="B37" s="122" t="str">
        <f t="array" ref="B37">index(Points!$A:$S,match(A37,Points!S:S,0),1,0)</f>
        <v>#N/A</v>
      </c>
      <c r="C37" s="123" t="str">
        <f t="array" ref="C37">index(Points!$A:$S,match(A37,Points!S:S,0),20,0)</f>
        <v>#N/A</v>
      </c>
      <c r="D37" s="122" t="str">
        <f t="shared" si="3"/>
        <v>#N/A</v>
      </c>
      <c r="E37" s="122" t="str">
        <f t="shared" si="4"/>
        <v>#N/A</v>
      </c>
    </row>
    <row r="38">
      <c r="A38" s="121">
        <v>36.0</v>
      </c>
      <c r="B38" s="122" t="str">
        <f t="array" ref="B38">index(Points!$A:$S,match(A38,Points!S:S,0),1,0)</f>
        <v>#N/A</v>
      </c>
      <c r="C38" s="123" t="str">
        <f t="array" ref="C38">index(Points!$A:$S,match(A38,Points!S:S,0),20,0)</f>
        <v>#N/A</v>
      </c>
      <c r="D38" s="122" t="str">
        <f t="shared" si="3"/>
        <v>#N/A</v>
      </c>
      <c r="E38" s="122" t="str">
        <f t="shared" si="4"/>
        <v>#N/A</v>
      </c>
    </row>
    <row r="39">
      <c r="A39" s="121">
        <v>37.0</v>
      </c>
      <c r="B39" s="122" t="str">
        <f t="array" ref="B39">index(Points!$A:$S,match(A39,Points!S:S,0),1,0)</f>
        <v>#N/A</v>
      </c>
      <c r="C39" s="123" t="str">
        <f t="array" ref="C39">index(Points!$A:$S,match(A39,Points!S:S,0),20,0)</f>
        <v>#N/A</v>
      </c>
      <c r="D39" s="122" t="str">
        <f t="shared" si="3"/>
        <v>#N/A</v>
      </c>
      <c r="E39" s="122" t="str">
        <f t="shared" si="4"/>
        <v>#N/A</v>
      </c>
    </row>
    <row r="40">
      <c r="A40" s="121">
        <v>38.0</v>
      </c>
      <c r="B40" s="122" t="str">
        <f t="array" ref="B40">index(Points!$A:$S,match(A40,Points!S:S,0),1,0)</f>
        <v>#N/A</v>
      </c>
      <c r="C40" s="123" t="str">
        <f t="array" ref="C40">index(Points!$A:$S,match(A40,Points!S:S,0),20,0)</f>
        <v>#N/A</v>
      </c>
      <c r="D40" s="122" t="str">
        <f t="shared" si="3"/>
        <v>#N/A</v>
      </c>
      <c r="E40" s="122" t="str">
        <f t="shared" si="4"/>
        <v>#N/A</v>
      </c>
    </row>
    <row r="41">
      <c r="A41" s="34"/>
      <c r="B41" s="34"/>
      <c r="C41" s="124"/>
      <c r="D41" s="34"/>
      <c r="E41" s="34"/>
    </row>
    <row r="42">
      <c r="A42" s="34"/>
      <c r="B42" s="34"/>
      <c r="C42" s="124"/>
      <c r="D42" s="34"/>
      <c r="E42" s="34"/>
    </row>
    <row r="43">
      <c r="A43" s="34"/>
      <c r="B43" s="34"/>
      <c r="C43" s="124"/>
      <c r="D43" s="34"/>
      <c r="E43" s="34"/>
    </row>
    <row r="44">
      <c r="A44" s="34"/>
      <c r="B44" s="34"/>
      <c r="C44" s="124"/>
      <c r="D44" s="34"/>
      <c r="E44" s="34"/>
    </row>
    <row r="45">
      <c r="A45" s="34"/>
      <c r="B45" s="34"/>
      <c r="C45" s="124"/>
      <c r="D45" s="34"/>
      <c r="E45" s="34"/>
    </row>
    <row r="46">
      <c r="A46" s="34"/>
      <c r="B46" s="34"/>
      <c r="C46" s="124"/>
      <c r="D46" s="34"/>
      <c r="E46" s="34"/>
    </row>
    <row r="47">
      <c r="A47" s="34"/>
      <c r="B47" s="34"/>
      <c r="C47" s="124"/>
      <c r="D47" s="34"/>
      <c r="E47" s="34"/>
    </row>
    <row r="48">
      <c r="A48" s="34"/>
      <c r="B48" s="34"/>
      <c r="C48" s="124"/>
      <c r="D48" s="34"/>
      <c r="E48" s="34"/>
    </row>
    <row r="49">
      <c r="A49" s="34"/>
      <c r="B49" s="34"/>
      <c r="C49" s="124"/>
      <c r="D49" s="34"/>
      <c r="E49" s="34"/>
    </row>
    <row r="50">
      <c r="A50" s="34"/>
      <c r="B50" s="34"/>
      <c r="C50" s="124"/>
      <c r="D50" s="34"/>
      <c r="E50" s="34"/>
    </row>
    <row r="51">
      <c r="A51" s="34"/>
      <c r="B51" s="34"/>
      <c r="C51" s="124"/>
      <c r="D51" s="34"/>
      <c r="E51" s="34"/>
    </row>
    <row r="52">
      <c r="A52" s="34"/>
      <c r="B52" s="34"/>
      <c r="C52" s="124"/>
      <c r="D52" s="34"/>
      <c r="E52" s="34"/>
    </row>
    <row r="53">
      <c r="A53" s="34"/>
      <c r="B53" s="34"/>
      <c r="C53" s="124"/>
      <c r="D53" s="34"/>
      <c r="E53" s="34"/>
    </row>
    <row r="54">
      <c r="A54" s="34"/>
      <c r="B54" s="34"/>
      <c r="C54" s="124"/>
      <c r="D54" s="34"/>
      <c r="E54" s="34"/>
    </row>
    <row r="55">
      <c r="A55" s="34"/>
      <c r="B55" s="34"/>
      <c r="C55" s="124"/>
      <c r="D55" s="34"/>
      <c r="E55" s="34"/>
    </row>
    <row r="56">
      <c r="A56" s="34"/>
      <c r="B56" s="34"/>
      <c r="C56" s="124"/>
      <c r="D56" s="34"/>
      <c r="E56" s="34"/>
    </row>
    <row r="57">
      <c r="A57" s="34"/>
      <c r="B57" s="34"/>
      <c r="C57" s="124"/>
      <c r="D57" s="34"/>
      <c r="E57" s="34"/>
    </row>
    <row r="58">
      <c r="A58" s="34"/>
      <c r="B58" s="34"/>
      <c r="C58" s="124"/>
      <c r="D58" s="34"/>
      <c r="E58" s="34"/>
    </row>
    <row r="59">
      <c r="A59" s="34"/>
      <c r="B59" s="34"/>
      <c r="C59" s="124"/>
      <c r="D59" s="34"/>
      <c r="E59" s="34"/>
    </row>
    <row r="60">
      <c r="A60" s="34"/>
      <c r="B60" s="34"/>
      <c r="C60" s="124"/>
      <c r="D60" s="34"/>
      <c r="E60" s="34"/>
    </row>
    <row r="61">
      <c r="A61" s="34"/>
      <c r="B61" s="34"/>
      <c r="C61" s="124"/>
      <c r="D61" s="34"/>
      <c r="E61" s="34"/>
    </row>
    <row r="62">
      <c r="A62" s="34"/>
      <c r="B62" s="34"/>
      <c r="C62" s="124"/>
      <c r="D62" s="34"/>
      <c r="E62" s="34"/>
    </row>
    <row r="63">
      <c r="A63" s="34"/>
      <c r="B63" s="34"/>
      <c r="C63" s="124"/>
      <c r="D63" s="34"/>
      <c r="E63" s="34"/>
    </row>
    <row r="64">
      <c r="A64" s="34"/>
      <c r="B64" s="34"/>
      <c r="C64" s="124"/>
      <c r="D64" s="34"/>
      <c r="E64" s="34"/>
    </row>
    <row r="65">
      <c r="A65" s="34"/>
      <c r="B65" s="34"/>
      <c r="C65" s="124"/>
      <c r="D65" s="34"/>
      <c r="E65" s="34"/>
    </row>
    <row r="66">
      <c r="A66" s="34"/>
      <c r="B66" s="34"/>
      <c r="C66" s="124"/>
      <c r="D66" s="34"/>
      <c r="E66" s="34"/>
    </row>
    <row r="67">
      <c r="A67" s="34"/>
      <c r="B67" s="34"/>
      <c r="C67" s="124"/>
      <c r="D67" s="34"/>
      <c r="E67" s="34"/>
    </row>
    <row r="68">
      <c r="A68" s="34"/>
      <c r="B68" s="34"/>
      <c r="C68" s="124"/>
      <c r="D68" s="34"/>
      <c r="E68" s="34"/>
    </row>
    <row r="69">
      <c r="A69" s="34"/>
      <c r="B69" s="34"/>
      <c r="C69" s="124"/>
      <c r="D69" s="34"/>
      <c r="E69" s="34"/>
    </row>
    <row r="70">
      <c r="A70" s="34"/>
      <c r="B70" s="34"/>
      <c r="C70" s="124"/>
      <c r="D70" s="34"/>
      <c r="E70" s="34"/>
    </row>
    <row r="71">
      <c r="A71" s="34"/>
      <c r="B71" s="34"/>
      <c r="C71" s="124"/>
      <c r="D71" s="34"/>
      <c r="E71" s="34"/>
    </row>
    <row r="72">
      <c r="A72" s="34"/>
      <c r="B72" s="34"/>
      <c r="C72" s="124"/>
      <c r="D72" s="34"/>
      <c r="E72" s="34"/>
    </row>
    <row r="73">
      <c r="A73" s="34"/>
      <c r="B73" s="34"/>
      <c r="C73" s="124"/>
      <c r="D73" s="34"/>
      <c r="E73" s="34"/>
    </row>
    <row r="74">
      <c r="A74" s="34"/>
      <c r="B74" s="34"/>
      <c r="C74" s="124"/>
      <c r="D74" s="34"/>
      <c r="E74" s="34"/>
    </row>
    <row r="75">
      <c r="A75" s="34"/>
      <c r="B75" s="34"/>
      <c r="C75" s="124"/>
      <c r="D75" s="34"/>
      <c r="E75" s="34"/>
    </row>
    <row r="76">
      <c r="A76" s="34"/>
      <c r="B76" s="34"/>
      <c r="C76" s="124"/>
      <c r="D76" s="34"/>
      <c r="E76" s="34"/>
    </row>
    <row r="77">
      <c r="A77" s="34"/>
      <c r="B77" s="34"/>
      <c r="C77" s="124"/>
      <c r="D77" s="34"/>
      <c r="E77" s="34"/>
    </row>
    <row r="78">
      <c r="A78" s="34"/>
      <c r="B78" s="34"/>
      <c r="C78" s="124"/>
      <c r="D78" s="34"/>
      <c r="E78" s="34"/>
    </row>
    <row r="79">
      <c r="A79" s="34"/>
      <c r="B79" s="34"/>
      <c r="C79" s="124"/>
      <c r="D79" s="34"/>
      <c r="E79" s="34"/>
    </row>
    <row r="80">
      <c r="A80" s="34"/>
      <c r="B80" s="34"/>
      <c r="C80" s="124"/>
      <c r="D80" s="34"/>
      <c r="E80" s="34"/>
    </row>
    <row r="81">
      <c r="A81" s="34"/>
      <c r="B81" s="34"/>
      <c r="C81" s="124"/>
      <c r="D81" s="34"/>
      <c r="E81" s="34"/>
    </row>
    <row r="82">
      <c r="A82" s="34"/>
      <c r="B82" s="34"/>
      <c r="C82" s="124"/>
      <c r="D82" s="34"/>
      <c r="E82" s="34"/>
    </row>
    <row r="83">
      <c r="A83" s="34"/>
      <c r="B83" s="34"/>
      <c r="C83" s="124"/>
      <c r="D83" s="34"/>
      <c r="E83" s="34"/>
    </row>
    <row r="84">
      <c r="A84" s="34"/>
      <c r="B84" s="34"/>
      <c r="C84" s="124"/>
      <c r="D84" s="34"/>
      <c r="E84" s="34"/>
    </row>
    <row r="85">
      <c r="A85" s="34"/>
      <c r="B85" s="34"/>
      <c r="C85" s="124"/>
      <c r="D85" s="34"/>
      <c r="E85" s="34"/>
    </row>
    <row r="86">
      <c r="A86" s="34"/>
      <c r="B86" s="34"/>
      <c r="C86" s="124"/>
      <c r="D86" s="34"/>
      <c r="E86" s="34"/>
    </row>
    <row r="87">
      <c r="A87" s="34"/>
      <c r="B87" s="34"/>
      <c r="C87" s="124"/>
      <c r="D87" s="34"/>
      <c r="E87" s="34"/>
    </row>
    <row r="88">
      <c r="A88" s="34"/>
      <c r="B88" s="34"/>
      <c r="C88" s="124"/>
      <c r="D88" s="34"/>
      <c r="E88" s="34"/>
    </row>
    <row r="89">
      <c r="A89" s="34"/>
      <c r="B89" s="34"/>
      <c r="C89" s="124"/>
      <c r="D89" s="34"/>
      <c r="E89" s="34"/>
    </row>
    <row r="90">
      <c r="A90" s="34"/>
      <c r="B90" s="34"/>
      <c r="C90" s="124"/>
      <c r="D90" s="34"/>
      <c r="E90" s="34"/>
    </row>
    <row r="91">
      <c r="A91" s="34"/>
      <c r="B91" s="34"/>
      <c r="C91" s="124"/>
      <c r="D91" s="34"/>
      <c r="E91" s="34"/>
    </row>
    <row r="92">
      <c r="A92" s="34"/>
      <c r="B92" s="34"/>
      <c r="C92" s="124"/>
      <c r="D92" s="34"/>
      <c r="E92" s="34"/>
    </row>
    <row r="93">
      <c r="A93" s="34"/>
      <c r="B93" s="34"/>
      <c r="C93" s="124"/>
      <c r="D93" s="34"/>
      <c r="E93" s="34"/>
    </row>
    <row r="94">
      <c r="A94" s="34"/>
      <c r="B94" s="34"/>
      <c r="C94" s="124"/>
      <c r="D94" s="34"/>
      <c r="E94" s="34"/>
    </row>
    <row r="95">
      <c r="A95" s="34"/>
      <c r="B95" s="34"/>
      <c r="C95" s="124"/>
      <c r="D95" s="34"/>
      <c r="E95" s="34"/>
    </row>
    <row r="96">
      <c r="A96" s="34"/>
      <c r="B96" s="34"/>
      <c r="C96" s="124"/>
      <c r="D96" s="34"/>
      <c r="E96" s="34"/>
    </row>
    <row r="97">
      <c r="A97" s="34"/>
      <c r="B97" s="34"/>
      <c r="C97" s="124"/>
      <c r="D97" s="34"/>
      <c r="E97" s="34"/>
    </row>
    <row r="98">
      <c r="A98" s="34"/>
      <c r="B98" s="34"/>
      <c r="C98" s="124"/>
      <c r="D98" s="34"/>
      <c r="E98" s="34"/>
    </row>
    <row r="99">
      <c r="A99" s="34"/>
      <c r="B99" s="34"/>
      <c r="C99" s="124"/>
      <c r="D99" s="34"/>
      <c r="E99" s="34"/>
    </row>
    <row r="100">
      <c r="A100" s="34"/>
      <c r="B100" s="34"/>
      <c r="C100" s="124"/>
      <c r="D100" s="34"/>
      <c r="E100" s="34"/>
    </row>
    <row r="101">
      <c r="A101" s="34"/>
      <c r="B101" s="34"/>
      <c r="C101" s="124"/>
      <c r="D101" s="34"/>
      <c r="E101" s="34"/>
    </row>
    <row r="102">
      <c r="A102" s="34"/>
      <c r="B102" s="34"/>
      <c r="C102" s="124"/>
      <c r="D102" s="34"/>
      <c r="E102" s="34"/>
    </row>
    <row r="103">
      <c r="A103" s="34"/>
      <c r="B103" s="34"/>
      <c r="C103" s="124"/>
      <c r="D103" s="34"/>
      <c r="E103" s="34"/>
    </row>
    <row r="104">
      <c r="A104" s="34"/>
      <c r="B104" s="34"/>
      <c r="C104" s="124"/>
      <c r="D104" s="34"/>
      <c r="E104" s="34"/>
    </row>
    <row r="105">
      <c r="A105" s="34"/>
      <c r="B105" s="34"/>
      <c r="C105" s="124"/>
      <c r="D105" s="34"/>
      <c r="E105" s="34"/>
    </row>
    <row r="106">
      <c r="A106" s="34"/>
      <c r="B106" s="34"/>
      <c r="C106" s="124"/>
      <c r="D106" s="34"/>
      <c r="E106" s="34"/>
    </row>
    <row r="107">
      <c r="A107" s="34"/>
      <c r="B107" s="34"/>
      <c r="C107" s="124"/>
      <c r="D107" s="34"/>
      <c r="E107" s="34"/>
    </row>
    <row r="108">
      <c r="A108" s="34"/>
      <c r="B108" s="34"/>
      <c r="C108" s="124"/>
      <c r="D108" s="34"/>
      <c r="E108" s="34"/>
    </row>
    <row r="109">
      <c r="A109" s="34"/>
      <c r="B109" s="34"/>
      <c r="C109" s="124"/>
      <c r="D109" s="34"/>
      <c r="E109" s="34"/>
    </row>
    <row r="110">
      <c r="A110" s="34"/>
      <c r="B110" s="34"/>
      <c r="C110" s="124"/>
      <c r="D110" s="34"/>
      <c r="E110" s="34"/>
    </row>
    <row r="111">
      <c r="A111" s="34"/>
      <c r="B111" s="34"/>
      <c r="C111" s="124"/>
      <c r="D111" s="34"/>
      <c r="E111" s="34"/>
    </row>
    <row r="112">
      <c r="A112" s="34"/>
      <c r="B112" s="34"/>
      <c r="C112" s="124"/>
      <c r="D112" s="34"/>
      <c r="E112" s="34"/>
    </row>
    <row r="113">
      <c r="A113" s="34"/>
      <c r="B113" s="34"/>
      <c r="C113" s="124"/>
      <c r="D113" s="34"/>
      <c r="E113" s="34"/>
    </row>
    <row r="114">
      <c r="A114" s="34"/>
      <c r="B114" s="34"/>
      <c r="C114" s="124"/>
      <c r="D114" s="34"/>
      <c r="E114" s="34"/>
    </row>
    <row r="115">
      <c r="A115" s="34"/>
      <c r="B115" s="34"/>
      <c r="C115" s="124"/>
      <c r="D115" s="34"/>
      <c r="E115" s="34"/>
    </row>
    <row r="116">
      <c r="A116" s="34"/>
      <c r="B116" s="34"/>
      <c r="C116" s="124"/>
      <c r="D116" s="34"/>
      <c r="E116" s="34"/>
    </row>
    <row r="117">
      <c r="A117" s="34"/>
      <c r="B117" s="34"/>
      <c r="C117" s="124"/>
      <c r="D117" s="34"/>
      <c r="E117" s="34"/>
    </row>
    <row r="118">
      <c r="A118" s="34"/>
      <c r="B118" s="34"/>
      <c r="C118" s="124"/>
      <c r="D118" s="34"/>
      <c r="E118" s="34"/>
    </row>
    <row r="119">
      <c r="A119" s="34"/>
      <c r="B119" s="34"/>
      <c r="C119" s="124"/>
      <c r="D119" s="34"/>
      <c r="E119" s="34"/>
    </row>
    <row r="120">
      <c r="A120" s="34"/>
      <c r="B120" s="34"/>
      <c r="C120" s="124"/>
      <c r="D120" s="34"/>
      <c r="E120" s="34"/>
    </row>
    <row r="121">
      <c r="A121" s="34"/>
      <c r="B121" s="34"/>
      <c r="C121" s="124"/>
      <c r="D121" s="34"/>
      <c r="E121" s="34"/>
    </row>
    <row r="122">
      <c r="A122" s="34"/>
      <c r="B122" s="34"/>
      <c r="C122" s="124"/>
      <c r="D122" s="34"/>
      <c r="E122" s="34"/>
    </row>
    <row r="123">
      <c r="A123" s="34"/>
      <c r="B123" s="34"/>
      <c r="C123" s="124"/>
      <c r="D123" s="34"/>
      <c r="E123" s="34"/>
    </row>
    <row r="124">
      <c r="A124" s="34"/>
      <c r="B124" s="34"/>
      <c r="C124" s="124"/>
      <c r="D124" s="34"/>
      <c r="E124" s="34"/>
    </row>
    <row r="125">
      <c r="A125" s="34"/>
      <c r="B125" s="34"/>
      <c r="C125" s="124"/>
      <c r="D125" s="34"/>
      <c r="E125" s="34"/>
    </row>
    <row r="126">
      <c r="A126" s="34"/>
      <c r="B126" s="34"/>
      <c r="C126" s="124"/>
      <c r="D126" s="34"/>
      <c r="E126" s="34"/>
    </row>
    <row r="127">
      <c r="A127" s="34"/>
      <c r="B127" s="34"/>
      <c r="C127" s="124"/>
      <c r="D127" s="34"/>
      <c r="E127" s="34"/>
    </row>
    <row r="128">
      <c r="A128" s="34"/>
      <c r="B128" s="34"/>
      <c r="C128" s="124"/>
      <c r="D128" s="34"/>
      <c r="E128" s="34"/>
    </row>
    <row r="129">
      <c r="A129" s="34"/>
      <c r="B129" s="34"/>
      <c r="C129" s="124"/>
      <c r="D129" s="34"/>
      <c r="E129" s="34"/>
    </row>
    <row r="130">
      <c r="A130" s="34"/>
      <c r="B130" s="34"/>
      <c r="C130" s="124"/>
      <c r="D130" s="34"/>
      <c r="E130" s="34"/>
    </row>
    <row r="131">
      <c r="A131" s="34"/>
      <c r="B131" s="34"/>
      <c r="C131" s="124"/>
      <c r="D131" s="34"/>
      <c r="E131" s="34"/>
    </row>
    <row r="132">
      <c r="A132" s="34"/>
      <c r="B132" s="34"/>
      <c r="C132" s="124"/>
      <c r="D132" s="34"/>
      <c r="E132" s="34"/>
    </row>
    <row r="133">
      <c r="A133" s="34"/>
      <c r="B133" s="34"/>
      <c r="C133" s="124"/>
      <c r="D133" s="34"/>
      <c r="E133" s="34"/>
    </row>
    <row r="134">
      <c r="A134" s="34"/>
      <c r="B134" s="34"/>
      <c r="C134" s="124"/>
      <c r="D134" s="34"/>
      <c r="E134" s="34"/>
    </row>
    <row r="135">
      <c r="A135" s="34"/>
      <c r="B135" s="34"/>
      <c r="C135" s="124"/>
      <c r="D135" s="34"/>
      <c r="E135" s="34"/>
    </row>
    <row r="136">
      <c r="A136" s="34"/>
      <c r="B136" s="34"/>
      <c r="C136" s="124"/>
      <c r="D136" s="34"/>
      <c r="E136" s="34"/>
    </row>
    <row r="137">
      <c r="A137" s="34"/>
      <c r="B137" s="34"/>
      <c r="C137" s="124"/>
      <c r="D137" s="34"/>
      <c r="E137" s="34"/>
    </row>
    <row r="138">
      <c r="A138" s="34"/>
      <c r="B138" s="34"/>
      <c r="C138" s="124"/>
      <c r="D138" s="34"/>
      <c r="E138" s="34"/>
    </row>
    <row r="139">
      <c r="A139" s="34"/>
      <c r="B139" s="34"/>
      <c r="C139" s="124"/>
      <c r="D139" s="34"/>
      <c r="E139" s="34"/>
    </row>
    <row r="140">
      <c r="A140" s="34"/>
      <c r="B140" s="34"/>
      <c r="C140" s="124"/>
      <c r="D140" s="34"/>
      <c r="E140" s="34"/>
    </row>
    <row r="141">
      <c r="A141" s="34"/>
      <c r="B141" s="34"/>
      <c r="C141" s="124"/>
      <c r="D141" s="34"/>
      <c r="E141" s="34"/>
    </row>
    <row r="142">
      <c r="A142" s="34"/>
      <c r="B142" s="34"/>
      <c r="C142" s="124"/>
      <c r="D142" s="34"/>
      <c r="E142" s="34"/>
    </row>
    <row r="143">
      <c r="A143" s="34"/>
      <c r="B143" s="34"/>
      <c r="C143" s="124"/>
      <c r="D143" s="34"/>
      <c r="E143" s="34"/>
    </row>
    <row r="144">
      <c r="A144" s="34"/>
      <c r="B144" s="34"/>
      <c r="C144" s="124"/>
      <c r="D144" s="34"/>
      <c r="E144" s="34"/>
    </row>
    <row r="145">
      <c r="A145" s="34"/>
      <c r="B145" s="34"/>
      <c r="C145" s="124"/>
      <c r="D145" s="34"/>
      <c r="E145" s="34"/>
    </row>
    <row r="146">
      <c r="A146" s="34"/>
      <c r="B146" s="34"/>
      <c r="C146" s="124"/>
      <c r="D146" s="34"/>
      <c r="E146" s="34"/>
    </row>
    <row r="147">
      <c r="A147" s="34"/>
      <c r="B147" s="34"/>
      <c r="C147" s="124"/>
      <c r="D147" s="34"/>
      <c r="E147" s="34"/>
    </row>
    <row r="148">
      <c r="A148" s="34"/>
      <c r="B148" s="34"/>
      <c r="C148" s="124"/>
      <c r="D148" s="34"/>
      <c r="E148" s="34"/>
    </row>
    <row r="149">
      <c r="A149" s="34"/>
      <c r="B149" s="34"/>
      <c r="C149" s="124"/>
      <c r="D149" s="34"/>
      <c r="E149" s="34"/>
    </row>
    <row r="150">
      <c r="A150" s="34"/>
      <c r="B150" s="34"/>
      <c r="C150" s="124"/>
      <c r="D150" s="34"/>
      <c r="E150" s="34"/>
    </row>
    <row r="151">
      <c r="A151" s="34"/>
      <c r="B151" s="34"/>
      <c r="C151" s="124"/>
      <c r="D151" s="34"/>
      <c r="E151" s="34"/>
    </row>
    <row r="152">
      <c r="A152" s="34"/>
      <c r="B152" s="34"/>
      <c r="C152" s="124"/>
      <c r="D152" s="34"/>
      <c r="E152" s="34"/>
    </row>
    <row r="153">
      <c r="A153" s="34"/>
      <c r="B153" s="34"/>
      <c r="C153" s="124"/>
      <c r="D153" s="34"/>
      <c r="E153" s="34"/>
    </row>
    <row r="154">
      <c r="A154" s="34"/>
      <c r="B154" s="34"/>
      <c r="C154" s="124"/>
      <c r="D154" s="34"/>
      <c r="E154" s="34"/>
    </row>
    <row r="155">
      <c r="A155" s="34"/>
      <c r="B155" s="34"/>
      <c r="C155" s="124"/>
      <c r="D155" s="34"/>
      <c r="E155" s="34"/>
    </row>
    <row r="156">
      <c r="A156" s="34"/>
      <c r="B156" s="34"/>
      <c r="C156" s="124"/>
      <c r="D156" s="34"/>
      <c r="E156" s="34"/>
    </row>
    <row r="157">
      <c r="A157" s="34"/>
      <c r="B157" s="34"/>
      <c r="C157" s="124"/>
      <c r="D157" s="34"/>
      <c r="E157" s="34"/>
    </row>
    <row r="158">
      <c r="A158" s="34"/>
      <c r="B158" s="34"/>
      <c r="C158" s="124"/>
      <c r="D158" s="34"/>
      <c r="E158" s="34"/>
    </row>
    <row r="159">
      <c r="A159" s="34"/>
      <c r="B159" s="34"/>
      <c r="C159" s="124"/>
      <c r="D159" s="34"/>
      <c r="E159" s="34"/>
    </row>
    <row r="160">
      <c r="A160" s="34"/>
      <c r="B160" s="34"/>
      <c r="C160" s="124"/>
      <c r="D160" s="34"/>
      <c r="E160" s="34"/>
    </row>
    <row r="161">
      <c r="A161" s="34"/>
      <c r="B161" s="34"/>
      <c r="C161" s="124"/>
      <c r="D161" s="34"/>
      <c r="E161" s="34"/>
    </row>
    <row r="162">
      <c r="A162" s="34"/>
      <c r="B162" s="34"/>
      <c r="C162" s="124"/>
      <c r="D162" s="34"/>
      <c r="E162" s="34"/>
    </row>
    <row r="163">
      <c r="A163" s="34"/>
      <c r="B163" s="34"/>
      <c r="C163" s="124"/>
      <c r="D163" s="34"/>
      <c r="E163" s="34"/>
    </row>
    <row r="164">
      <c r="A164" s="34"/>
      <c r="B164" s="34"/>
      <c r="C164" s="124"/>
      <c r="D164" s="34"/>
      <c r="E164" s="34"/>
    </row>
    <row r="165">
      <c r="A165" s="34"/>
      <c r="B165" s="34"/>
      <c r="C165" s="124"/>
      <c r="D165" s="34"/>
      <c r="E165" s="34"/>
    </row>
    <row r="166">
      <c r="A166" s="34"/>
      <c r="B166" s="34"/>
      <c r="C166" s="124"/>
      <c r="D166" s="34"/>
      <c r="E166" s="34"/>
    </row>
    <row r="167">
      <c r="A167" s="34"/>
      <c r="B167" s="34"/>
      <c r="C167" s="124"/>
      <c r="D167" s="34"/>
      <c r="E167" s="34"/>
    </row>
    <row r="168">
      <c r="A168" s="34"/>
      <c r="B168" s="34"/>
      <c r="C168" s="124"/>
      <c r="D168" s="34"/>
      <c r="E168" s="34"/>
    </row>
    <row r="169">
      <c r="A169" s="34"/>
      <c r="B169" s="34"/>
      <c r="C169" s="124"/>
      <c r="D169" s="34"/>
      <c r="E169" s="34"/>
    </row>
    <row r="170">
      <c r="A170" s="34"/>
      <c r="B170" s="34"/>
      <c r="C170" s="124"/>
      <c r="D170" s="34"/>
      <c r="E170" s="34"/>
    </row>
    <row r="171">
      <c r="A171" s="34"/>
      <c r="B171" s="34"/>
      <c r="C171" s="124"/>
      <c r="D171" s="34"/>
      <c r="E171" s="34"/>
    </row>
    <row r="172">
      <c r="A172" s="34"/>
      <c r="B172" s="34"/>
      <c r="C172" s="124"/>
      <c r="D172" s="34"/>
      <c r="E172" s="34"/>
    </row>
    <row r="173">
      <c r="A173" s="34"/>
      <c r="B173" s="34"/>
      <c r="C173" s="124"/>
      <c r="D173" s="34"/>
      <c r="E173" s="34"/>
    </row>
    <row r="174">
      <c r="A174" s="34"/>
      <c r="B174" s="34"/>
      <c r="C174" s="124"/>
      <c r="D174" s="34"/>
      <c r="E174" s="34"/>
    </row>
    <row r="175">
      <c r="A175" s="34"/>
      <c r="B175" s="34"/>
      <c r="C175" s="124"/>
      <c r="D175" s="34"/>
      <c r="E175" s="34"/>
    </row>
    <row r="176">
      <c r="A176" s="34"/>
      <c r="B176" s="34"/>
      <c r="C176" s="124"/>
      <c r="D176" s="34"/>
      <c r="E176" s="34"/>
    </row>
    <row r="177">
      <c r="A177" s="34"/>
      <c r="B177" s="34"/>
      <c r="C177" s="124"/>
      <c r="D177" s="34"/>
      <c r="E177" s="34"/>
    </row>
    <row r="178">
      <c r="A178" s="34"/>
      <c r="B178" s="34"/>
      <c r="C178" s="124"/>
      <c r="D178" s="34"/>
      <c r="E178" s="34"/>
    </row>
    <row r="179">
      <c r="A179" s="34"/>
      <c r="B179" s="34"/>
      <c r="C179" s="124"/>
      <c r="D179" s="34"/>
      <c r="E179" s="34"/>
    </row>
    <row r="180">
      <c r="A180" s="34"/>
      <c r="B180" s="34"/>
      <c r="C180" s="124"/>
      <c r="D180" s="34"/>
      <c r="E180" s="34"/>
    </row>
    <row r="181">
      <c r="A181" s="34"/>
      <c r="B181" s="34"/>
      <c r="C181" s="124"/>
      <c r="D181" s="34"/>
      <c r="E181" s="34"/>
    </row>
    <row r="182">
      <c r="A182" s="34"/>
      <c r="B182" s="34"/>
      <c r="C182" s="124"/>
      <c r="D182" s="34"/>
      <c r="E182" s="34"/>
    </row>
    <row r="183">
      <c r="A183" s="34"/>
      <c r="B183" s="34"/>
      <c r="C183" s="124"/>
      <c r="D183" s="34"/>
      <c r="E183" s="34"/>
    </row>
    <row r="184">
      <c r="A184" s="34"/>
      <c r="B184" s="34"/>
      <c r="C184" s="124"/>
      <c r="D184" s="34"/>
      <c r="E184" s="34"/>
    </row>
    <row r="185">
      <c r="A185" s="34"/>
      <c r="B185" s="34"/>
      <c r="C185" s="124"/>
      <c r="D185" s="34"/>
      <c r="E185" s="34"/>
    </row>
    <row r="186">
      <c r="A186" s="34"/>
      <c r="B186" s="34"/>
      <c r="C186" s="124"/>
      <c r="D186" s="34"/>
      <c r="E186" s="34"/>
    </row>
    <row r="187">
      <c r="A187" s="34"/>
      <c r="B187" s="34"/>
      <c r="C187" s="124"/>
      <c r="D187" s="34"/>
      <c r="E187" s="34"/>
    </row>
    <row r="188">
      <c r="A188" s="34"/>
      <c r="B188" s="34"/>
      <c r="C188" s="124"/>
      <c r="D188" s="34"/>
      <c r="E188" s="34"/>
    </row>
    <row r="189">
      <c r="A189" s="34"/>
      <c r="B189" s="34"/>
      <c r="C189" s="124"/>
      <c r="D189" s="34"/>
      <c r="E189" s="34"/>
    </row>
    <row r="190">
      <c r="A190" s="34"/>
      <c r="B190" s="34"/>
      <c r="C190" s="124"/>
      <c r="D190" s="34"/>
      <c r="E190" s="34"/>
    </row>
    <row r="191">
      <c r="A191" s="34"/>
      <c r="B191" s="34"/>
      <c r="C191" s="124"/>
      <c r="D191" s="34"/>
      <c r="E191" s="34"/>
    </row>
    <row r="192">
      <c r="A192" s="34"/>
      <c r="B192" s="34"/>
      <c r="C192" s="124"/>
      <c r="D192" s="34"/>
      <c r="E192" s="34"/>
    </row>
    <row r="193">
      <c r="A193" s="34"/>
      <c r="B193" s="34"/>
      <c r="C193" s="124"/>
      <c r="D193" s="34"/>
      <c r="E193" s="34"/>
    </row>
    <row r="194">
      <c r="A194" s="34"/>
      <c r="B194" s="34"/>
      <c r="C194" s="124"/>
      <c r="D194" s="34"/>
      <c r="E194" s="34"/>
    </row>
    <row r="195">
      <c r="A195" s="34"/>
      <c r="B195" s="34"/>
      <c r="C195" s="124"/>
      <c r="D195" s="34"/>
      <c r="E195" s="34"/>
    </row>
    <row r="196">
      <c r="A196" s="34"/>
      <c r="B196" s="34"/>
      <c r="C196" s="124"/>
      <c r="D196" s="34"/>
      <c r="E196" s="34"/>
    </row>
    <row r="197">
      <c r="A197" s="34"/>
      <c r="B197" s="34"/>
      <c r="C197" s="124"/>
      <c r="D197" s="34"/>
      <c r="E197" s="34"/>
    </row>
    <row r="198">
      <c r="A198" s="34"/>
      <c r="B198" s="34"/>
      <c r="C198" s="124"/>
      <c r="D198" s="34"/>
      <c r="E198" s="34"/>
    </row>
    <row r="199">
      <c r="A199" s="34"/>
      <c r="B199" s="34"/>
      <c r="C199" s="124"/>
      <c r="D199" s="34"/>
      <c r="E199" s="34"/>
    </row>
    <row r="200">
      <c r="A200" s="34"/>
      <c r="B200" s="34"/>
      <c r="C200" s="124"/>
      <c r="D200" s="34"/>
      <c r="E200" s="34"/>
    </row>
    <row r="201">
      <c r="A201" s="34"/>
      <c r="B201" s="34"/>
      <c r="C201" s="124"/>
      <c r="D201" s="34"/>
      <c r="E201" s="34"/>
    </row>
    <row r="202">
      <c r="A202" s="34"/>
      <c r="B202" s="34"/>
      <c r="C202" s="124"/>
      <c r="D202" s="34"/>
      <c r="E202" s="34"/>
    </row>
    <row r="203">
      <c r="A203" s="34"/>
      <c r="B203" s="34"/>
      <c r="C203" s="124"/>
      <c r="D203" s="34"/>
      <c r="E203" s="34"/>
    </row>
    <row r="204">
      <c r="A204" s="34"/>
      <c r="B204" s="34"/>
      <c r="C204" s="124"/>
      <c r="D204" s="34"/>
      <c r="E204" s="34"/>
    </row>
    <row r="205">
      <c r="A205" s="34"/>
      <c r="B205" s="34"/>
      <c r="C205" s="124"/>
      <c r="D205" s="34"/>
      <c r="E205" s="34"/>
    </row>
    <row r="206">
      <c r="A206" s="34"/>
      <c r="B206" s="34"/>
      <c r="C206" s="124"/>
      <c r="D206" s="34"/>
      <c r="E206" s="34"/>
    </row>
    <row r="207">
      <c r="A207" s="34"/>
      <c r="B207" s="34"/>
      <c r="C207" s="124"/>
      <c r="D207" s="34"/>
      <c r="E207" s="34"/>
    </row>
    <row r="208">
      <c r="A208" s="34"/>
      <c r="B208" s="34"/>
      <c r="C208" s="124"/>
      <c r="D208" s="34"/>
      <c r="E208" s="34"/>
    </row>
    <row r="209">
      <c r="A209" s="34"/>
      <c r="B209" s="34"/>
      <c r="C209" s="124"/>
      <c r="D209" s="34"/>
      <c r="E209" s="34"/>
    </row>
    <row r="210">
      <c r="A210" s="34"/>
      <c r="B210" s="34"/>
      <c r="C210" s="124"/>
      <c r="D210" s="34"/>
      <c r="E210" s="34"/>
    </row>
    <row r="211">
      <c r="A211" s="34"/>
      <c r="B211" s="34"/>
      <c r="C211" s="124"/>
      <c r="D211" s="34"/>
      <c r="E211" s="34"/>
    </row>
    <row r="212">
      <c r="A212" s="34"/>
      <c r="B212" s="34"/>
      <c r="C212" s="124"/>
      <c r="D212" s="34"/>
      <c r="E212" s="34"/>
    </row>
    <row r="213">
      <c r="A213" s="34"/>
      <c r="B213" s="34"/>
      <c r="C213" s="124"/>
      <c r="D213" s="34"/>
      <c r="E213" s="34"/>
    </row>
    <row r="214">
      <c r="A214" s="34"/>
      <c r="B214" s="34"/>
      <c r="C214" s="124"/>
      <c r="D214" s="34"/>
      <c r="E214" s="34"/>
    </row>
    <row r="215">
      <c r="A215" s="34"/>
      <c r="B215" s="34"/>
      <c r="C215" s="124"/>
      <c r="D215" s="34"/>
      <c r="E215" s="34"/>
    </row>
    <row r="216">
      <c r="A216" s="34"/>
      <c r="B216" s="34"/>
      <c r="C216" s="124"/>
      <c r="D216" s="34"/>
      <c r="E216" s="34"/>
    </row>
    <row r="217">
      <c r="A217" s="34"/>
      <c r="B217" s="34"/>
      <c r="C217" s="124"/>
      <c r="D217" s="34"/>
      <c r="E217" s="34"/>
    </row>
    <row r="218">
      <c r="A218" s="34"/>
      <c r="B218" s="34"/>
      <c r="C218" s="124"/>
      <c r="D218" s="34"/>
      <c r="E218" s="34"/>
    </row>
    <row r="219">
      <c r="A219" s="34"/>
      <c r="B219" s="34"/>
      <c r="C219" s="124"/>
      <c r="D219" s="34"/>
      <c r="E219" s="34"/>
    </row>
    <row r="220">
      <c r="A220" s="34"/>
      <c r="B220" s="34"/>
      <c r="C220" s="124"/>
      <c r="D220" s="34"/>
      <c r="E220" s="34"/>
    </row>
    <row r="221">
      <c r="A221" s="34"/>
      <c r="B221" s="34"/>
      <c r="C221" s="124"/>
      <c r="D221" s="34"/>
      <c r="E221" s="34"/>
    </row>
    <row r="222">
      <c r="A222" s="34"/>
      <c r="B222" s="34"/>
      <c r="C222" s="124"/>
      <c r="D222" s="34"/>
      <c r="E222" s="34"/>
    </row>
    <row r="223">
      <c r="A223" s="34"/>
      <c r="B223" s="34"/>
      <c r="C223" s="124"/>
      <c r="D223" s="34"/>
      <c r="E223" s="34"/>
    </row>
    <row r="224">
      <c r="A224" s="34"/>
      <c r="B224" s="34"/>
      <c r="C224" s="124"/>
      <c r="D224" s="34"/>
      <c r="E224" s="34"/>
    </row>
    <row r="225">
      <c r="A225" s="34"/>
      <c r="B225" s="34"/>
      <c r="C225" s="124"/>
      <c r="D225" s="34"/>
      <c r="E225" s="34"/>
    </row>
    <row r="226">
      <c r="A226" s="34"/>
      <c r="B226" s="34"/>
      <c r="C226" s="124"/>
      <c r="D226" s="34"/>
      <c r="E226" s="34"/>
    </row>
    <row r="227">
      <c r="A227" s="34"/>
      <c r="B227" s="34"/>
      <c r="C227" s="124"/>
      <c r="D227" s="34"/>
      <c r="E227" s="34"/>
    </row>
    <row r="228">
      <c r="A228" s="34"/>
      <c r="B228" s="34"/>
      <c r="C228" s="124"/>
      <c r="D228" s="34"/>
      <c r="E228" s="34"/>
    </row>
    <row r="229">
      <c r="A229" s="34"/>
      <c r="B229" s="34"/>
      <c r="C229" s="124"/>
      <c r="D229" s="34"/>
      <c r="E229" s="34"/>
    </row>
    <row r="230">
      <c r="A230" s="34"/>
      <c r="B230" s="34"/>
      <c r="C230" s="124"/>
      <c r="D230" s="34"/>
      <c r="E230" s="34"/>
    </row>
    <row r="231">
      <c r="A231" s="34"/>
      <c r="B231" s="34"/>
      <c r="C231" s="124"/>
      <c r="D231" s="34"/>
      <c r="E231" s="34"/>
    </row>
    <row r="232">
      <c r="A232" s="34"/>
      <c r="B232" s="34"/>
      <c r="C232" s="124"/>
      <c r="D232" s="34"/>
      <c r="E232" s="34"/>
    </row>
    <row r="233">
      <c r="A233" s="34"/>
      <c r="B233" s="34"/>
      <c r="C233" s="124"/>
      <c r="D233" s="34"/>
      <c r="E233" s="34"/>
    </row>
    <row r="234">
      <c r="A234" s="34"/>
      <c r="B234" s="34"/>
      <c r="C234" s="124"/>
      <c r="D234" s="34"/>
      <c r="E234" s="34"/>
    </row>
    <row r="235">
      <c r="A235" s="34"/>
      <c r="B235" s="34"/>
      <c r="C235" s="124"/>
      <c r="D235" s="34"/>
      <c r="E235" s="34"/>
    </row>
    <row r="236">
      <c r="A236" s="34"/>
      <c r="B236" s="34"/>
      <c r="C236" s="124"/>
      <c r="D236" s="34"/>
      <c r="E236" s="34"/>
    </row>
    <row r="237">
      <c r="A237" s="34"/>
      <c r="B237" s="34"/>
      <c r="C237" s="124"/>
      <c r="D237" s="34"/>
      <c r="E237" s="34"/>
    </row>
    <row r="238">
      <c r="A238" s="34"/>
      <c r="B238" s="34"/>
      <c r="C238" s="124"/>
      <c r="D238" s="34"/>
      <c r="E238" s="34"/>
    </row>
    <row r="239">
      <c r="A239" s="34"/>
      <c r="B239" s="34"/>
      <c r="C239" s="124"/>
      <c r="D239" s="34"/>
      <c r="E239" s="34"/>
    </row>
    <row r="240">
      <c r="A240" s="34"/>
      <c r="B240" s="34"/>
      <c r="C240" s="124"/>
      <c r="D240" s="34"/>
      <c r="E240" s="34"/>
    </row>
    <row r="241">
      <c r="A241" s="34"/>
      <c r="B241" s="34"/>
      <c r="C241" s="124"/>
      <c r="D241" s="34"/>
      <c r="E241" s="34"/>
    </row>
    <row r="242">
      <c r="A242" s="34"/>
      <c r="B242" s="34"/>
      <c r="C242" s="124"/>
      <c r="D242" s="34"/>
      <c r="E242" s="34"/>
    </row>
    <row r="243">
      <c r="A243" s="34"/>
      <c r="B243" s="34"/>
      <c r="C243" s="124"/>
      <c r="D243" s="34"/>
      <c r="E243" s="34"/>
    </row>
    <row r="244">
      <c r="A244" s="34"/>
      <c r="B244" s="34"/>
      <c r="C244" s="124"/>
      <c r="D244" s="34"/>
      <c r="E244" s="34"/>
    </row>
    <row r="245">
      <c r="A245" s="34"/>
      <c r="B245" s="34"/>
      <c r="C245" s="124"/>
      <c r="D245" s="34"/>
      <c r="E245" s="34"/>
    </row>
    <row r="246">
      <c r="A246" s="34"/>
      <c r="B246" s="34"/>
      <c r="C246" s="124"/>
      <c r="D246" s="34"/>
      <c r="E246" s="34"/>
    </row>
    <row r="247">
      <c r="A247" s="34"/>
      <c r="B247" s="34"/>
      <c r="C247" s="124"/>
      <c r="D247" s="34"/>
      <c r="E247" s="34"/>
    </row>
    <row r="248">
      <c r="A248" s="34"/>
      <c r="B248" s="34"/>
      <c r="C248" s="124"/>
      <c r="D248" s="34"/>
      <c r="E248" s="34"/>
    </row>
    <row r="249">
      <c r="A249" s="34"/>
      <c r="B249" s="34"/>
      <c r="C249" s="124"/>
      <c r="D249" s="34"/>
      <c r="E249" s="34"/>
    </row>
    <row r="250">
      <c r="A250" s="34"/>
      <c r="B250" s="34"/>
      <c r="C250" s="124"/>
      <c r="D250" s="34"/>
      <c r="E250" s="34"/>
    </row>
    <row r="251">
      <c r="A251" s="34"/>
      <c r="B251" s="34"/>
      <c r="C251" s="124"/>
      <c r="D251" s="34"/>
      <c r="E251" s="34"/>
    </row>
    <row r="252">
      <c r="A252" s="34"/>
      <c r="B252" s="34"/>
      <c r="C252" s="124"/>
      <c r="D252" s="34"/>
      <c r="E252" s="34"/>
    </row>
    <row r="253">
      <c r="A253" s="34"/>
      <c r="B253" s="34"/>
      <c r="C253" s="124"/>
      <c r="D253" s="34"/>
      <c r="E253" s="34"/>
    </row>
    <row r="254">
      <c r="A254" s="34"/>
      <c r="B254" s="34"/>
      <c r="C254" s="124"/>
      <c r="D254" s="34"/>
      <c r="E254" s="34"/>
    </row>
    <row r="255">
      <c r="A255" s="34"/>
      <c r="B255" s="34"/>
      <c r="C255" s="124"/>
      <c r="D255" s="34"/>
      <c r="E255" s="34"/>
    </row>
    <row r="256">
      <c r="A256" s="34"/>
      <c r="B256" s="34"/>
      <c r="C256" s="124"/>
      <c r="D256" s="34"/>
      <c r="E256" s="34"/>
    </row>
    <row r="257">
      <c r="A257" s="34"/>
      <c r="B257" s="34"/>
      <c r="C257" s="124"/>
      <c r="D257" s="34"/>
      <c r="E257" s="34"/>
    </row>
    <row r="258">
      <c r="A258" s="34"/>
      <c r="B258" s="34"/>
      <c r="C258" s="124"/>
      <c r="D258" s="34"/>
      <c r="E258" s="34"/>
    </row>
    <row r="259">
      <c r="A259" s="34"/>
      <c r="B259" s="34"/>
      <c r="C259" s="124"/>
      <c r="D259" s="34"/>
      <c r="E259" s="34"/>
    </row>
    <row r="260">
      <c r="A260" s="34"/>
      <c r="B260" s="34"/>
      <c r="C260" s="124"/>
      <c r="D260" s="34"/>
      <c r="E260" s="34"/>
    </row>
    <row r="261">
      <c r="A261" s="34"/>
      <c r="B261" s="34"/>
      <c r="C261" s="124"/>
      <c r="D261" s="34"/>
      <c r="E261" s="34"/>
    </row>
    <row r="262">
      <c r="A262" s="34"/>
      <c r="B262" s="34"/>
      <c r="C262" s="124"/>
      <c r="D262" s="34"/>
      <c r="E262" s="34"/>
    </row>
    <row r="263">
      <c r="A263" s="34"/>
      <c r="B263" s="34"/>
      <c r="C263" s="124"/>
      <c r="D263" s="34"/>
      <c r="E263" s="34"/>
    </row>
    <row r="264">
      <c r="A264" s="34"/>
      <c r="B264" s="34"/>
      <c r="C264" s="124"/>
      <c r="D264" s="34"/>
      <c r="E264" s="34"/>
    </row>
    <row r="265">
      <c r="A265" s="34"/>
      <c r="B265" s="34"/>
      <c r="C265" s="124"/>
      <c r="D265" s="34"/>
      <c r="E265" s="34"/>
    </row>
    <row r="266">
      <c r="A266" s="34"/>
      <c r="B266" s="34"/>
      <c r="C266" s="124"/>
      <c r="D266" s="34"/>
      <c r="E266" s="34"/>
    </row>
    <row r="267">
      <c r="A267" s="34"/>
      <c r="B267" s="34"/>
      <c r="C267" s="124"/>
      <c r="D267" s="34"/>
      <c r="E267" s="34"/>
    </row>
    <row r="268">
      <c r="A268" s="34"/>
      <c r="B268" s="34"/>
      <c r="C268" s="124"/>
      <c r="D268" s="34"/>
      <c r="E268" s="34"/>
    </row>
    <row r="269">
      <c r="A269" s="34"/>
      <c r="B269" s="34"/>
      <c r="C269" s="124"/>
      <c r="D269" s="34"/>
      <c r="E269" s="34"/>
    </row>
    <row r="270">
      <c r="A270" s="34"/>
      <c r="B270" s="34"/>
      <c r="C270" s="124"/>
      <c r="D270" s="34"/>
      <c r="E270" s="34"/>
    </row>
    <row r="271">
      <c r="A271" s="34"/>
      <c r="B271" s="34"/>
      <c r="C271" s="124"/>
      <c r="D271" s="34"/>
      <c r="E271" s="34"/>
    </row>
    <row r="272">
      <c r="A272" s="34"/>
      <c r="B272" s="34"/>
      <c r="C272" s="124"/>
      <c r="D272" s="34"/>
      <c r="E272" s="34"/>
    </row>
    <row r="273">
      <c r="A273" s="34"/>
      <c r="B273" s="34"/>
      <c r="C273" s="124"/>
      <c r="D273" s="34"/>
      <c r="E273" s="34"/>
    </row>
    <row r="274">
      <c r="A274" s="34"/>
      <c r="B274" s="34"/>
      <c r="C274" s="124"/>
      <c r="D274" s="34"/>
      <c r="E274" s="34"/>
    </row>
    <row r="275">
      <c r="A275" s="34"/>
      <c r="B275" s="34"/>
      <c r="C275" s="124"/>
      <c r="D275" s="34"/>
      <c r="E275" s="34"/>
    </row>
    <row r="276">
      <c r="A276" s="34"/>
      <c r="B276" s="34"/>
      <c r="C276" s="124"/>
      <c r="D276" s="34"/>
      <c r="E276" s="34"/>
    </row>
    <row r="277">
      <c r="A277" s="34"/>
      <c r="B277" s="34"/>
      <c r="C277" s="124"/>
      <c r="D277" s="34"/>
      <c r="E277" s="34"/>
    </row>
    <row r="278">
      <c r="A278" s="34"/>
      <c r="B278" s="34"/>
      <c r="C278" s="124"/>
      <c r="D278" s="34"/>
      <c r="E278" s="34"/>
    </row>
    <row r="279">
      <c r="A279" s="34"/>
      <c r="B279" s="34"/>
      <c r="C279" s="124"/>
      <c r="D279" s="34"/>
      <c r="E279" s="34"/>
    </row>
    <row r="280">
      <c r="A280" s="34"/>
      <c r="B280" s="34"/>
      <c r="C280" s="124"/>
      <c r="D280" s="34"/>
      <c r="E280" s="34"/>
    </row>
    <row r="281">
      <c r="A281" s="34"/>
      <c r="B281" s="34"/>
      <c r="C281" s="124"/>
      <c r="D281" s="34"/>
      <c r="E281" s="34"/>
    </row>
    <row r="282">
      <c r="A282" s="34"/>
      <c r="B282" s="34"/>
      <c r="C282" s="124"/>
      <c r="D282" s="34"/>
      <c r="E282" s="34"/>
    </row>
    <row r="283">
      <c r="A283" s="34"/>
      <c r="B283" s="34"/>
      <c r="C283" s="124"/>
      <c r="D283" s="34"/>
      <c r="E283" s="34"/>
    </row>
    <row r="284">
      <c r="A284" s="34"/>
      <c r="B284" s="34"/>
      <c r="C284" s="124"/>
      <c r="D284" s="34"/>
      <c r="E284" s="34"/>
    </row>
    <row r="285">
      <c r="A285" s="34"/>
      <c r="B285" s="34"/>
      <c r="C285" s="124"/>
      <c r="D285" s="34"/>
      <c r="E285" s="34"/>
    </row>
    <row r="286">
      <c r="A286" s="34"/>
      <c r="B286" s="34"/>
      <c r="C286" s="124"/>
      <c r="D286" s="34"/>
      <c r="E286" s="34"/>
    </row>
    <row r="287">
      <c r="A287" s="34"/>
      <c r="B287" s="34"/>
      <c r="C287" s="124"/>
      <c r="D287" s="34"/>
      <c r="E287" s="34"/>
    </row>
    <row r="288">
      <c r="A288" s="34"/>
      <c r="B288" s="34"/>
      <c r="C288" s="124"/>
      <c r="D288" s="34"/>
      <c r="E288" s="34"/>
    </row>
    <row r="289">
      <c r="A289" s="34"/>
      <c r="B289" s="34"/>
      <c r="C289" s="124"/>
      <c r="D289" s="34"/>
      <c r="E289" s="34"/>
    </row>
    <row r="290">
      <c r="A290" s="34"/>
      <c r="B290" s="34"/>
      <c r="C290" s="124"/>
      <c r="D290" s="34"/>
      <c r="E290" s="34"/>
    </row>
    <row r="291">
      <c r="A291" s="34"/>
      <c r="B291" s="34"/>
      <c r="C291" s="124"/>
      <c r="D291" s="34"/>
      <c r="E291" s="34"/>
    </row>
    <row r="292">
      <c r="A292" s="34"/>
      <c r="B292" s="34"/>
      <c r="C292" s="124"/>
      <c r="D292" s="34"/>
      <c r="E292" s="34"/>
    </row>
    <row r="293">
      <c r="A293" s="34"/>
      <c r="B293" s="34"/>
      <c r="C293" s="124"/>
      <c r="D293" s="34"/>
      <c r="E293" s="34"/>
    </row>
    <row r="294">
      <c r="A294" s="34"/>
      <c r="B294" s="34"/>
      <c r="C294" s="124"/>
      <c r="D294" s="34"/>
      <c r="E294" s="34"/>
    </row>
    <row r="295">
      <c r="A295" s="34"/>
      <c r="B295" s="34"/>
      <c r="C295" s="124"/>
      <c r="D295" s="34"/>
      <c r="E295" s="34"/>
    </row>
    <row r="296">
      <c r="A296" s="34"/>
      <c r="B296" s="34"/>
      <c r="C296" s="124"/>
      <c r="D296" s="34"/>
      <c r="E296" s="34"/>
    </row>
    <row r="297">
      <c r="A297" s="34"/>
      <c r="B297" s="34"/>
      <c r="C297" s="124"/>
      <c r="D297" s="34"/>
      <c r="E297" s="34"/>
    </row>
    <row r="298">
      <c r="A298" s="34"/>
      <c r="B298" s="34"/>
      <c r="C298" s="124"/>
      <c r="D298" s="34"/>
      <c r="E298" s="34"/>
    </row>
    <row r="299">
      <c r="A299" s="34"/>
      <c r="B299" s="34"/>
      <c r="C299" s="124"/>
      <c r="D299" s="34"/>
      <c r="E299" s="34"/>
    </row>
    <row r="300">
      <c r="A300" s="34"/>
      <c r="B300" s="34"/>
      <c r="C300" s="124"/>
      <c r="D300" s="34"/>
      <c r="E300" s="34"/>
    </row>
    <row r="301">
      <c r="A301" s="34"/>
      <c r="B301" s="34"/>
      <c r="C301" s="124"/>
      <c r="D301" s="34"/>
      <c r="E301" s="34"/>
    </row>
    <row r="302">
      <c r="A302" s="34"/>
      <c r="B302" s="34"/>
      <c r="C302" s="124"/>
      <c r="D302" s="34"/>
      <c r="E302" s="34"/>
    </row>
    <row r="303">
      <c r="A303" s="34"/>
      <c r="B303" s="34"/>
      <c r="C303" s="124"/>
      <c r="D303" s="34"/>
      <c r="E303" s="34"/>
    </row>
    <row r="304">
      <c r="A304" s="34"/>
      <c r="B304" s="34"/>
      <c r="C304" s="124"/>
      <c r="D304" s="34"/>
      <c r="E304" s="34"/>
    </row>
    <row r="305">
      <c r="A305" s="34"/>
      <c r="B305" s="34"/>
      <c r="C305" s="124"/>
      <c r="D305" s="34"/>
      <c r="E305" s="34"/>
    </row>
    <row r="306">
      <c r="A306" s="34"/>
      <c r="B306" s="34"/>
      <c r="C306" s="124"/>
      <c r="D306" s="34"/>
      <c r="E306" s="34"/>
    </row>
    <row r="307">
      <c r="A307" s="34"/>
      <c r="B307" s="34"/>
      <c r="C307" s="124"/>
      <c r="D307" s="34"/>
      <c r="E307" s="34"/>
    </row>
    <row r="308">
      <c r="A308" s="34"/>
      <c r="B308" s="34"/>
      <c r="C308" s="124"/>
      <c r="D308" s="34"/>
      <c r="E308" s="34"/>
    </row>
    <row r="309">
      <c r="A309" s="34"/>
      <c r="B309" s="34"/>
      <c r="C309" s="124"/>
      <c r="D309" s="34"/>
      <c r="E309" s="34"/>
    </row>
    <row r="310">
      <c r="A310" s="34"/>
      <c r="B310" s="34"/>
      <c r="C310" s="124"/>
      <c r="D310" s="34"/>
      <c r="E310" s="34"/>
    </row>
    <row r="311">
      <c r="A311" s="34"/>
      <c r="B311" s="34"/>
      <c r="C311" s="124"/>
      <c r="D311" s="34"/>
      <c r="E311" s="34"/>
    </row>
    <row r="312">
      <c r="A312" s="34"/>
      <c r="B312" s="34"/>
      <c r="C312" s="124"/>
      <c r="D312" s="34"/>
      <c r="E312" s="34"/>
    </row>
    <row r="313">
      <c r="A313" s="34"/>
      <c r="B313" s="34"/>
      <c r="C313" s="124"/>
      <c r="D313" s="34"/>
      <c r="E313" s="34"/>
    </row>
    <row r="314">
      <c r="A314" s="34"/>
      <c r="B314" s="34"/>
      <c r="C314" s="124"/>
      <c r="D314" s="34"/>
      <c r="E314" s="34"/>
    </row>
    <row r="315">
      <c r="A315" s="34"/>
      <c r="B315" s="34"/>
      <c r="C315" s="124"/>
      <c r="D315" s="34"/>
      <c r="E315" s="34"/>
    </row>
    <row r="316">
      <c r="A316" s="34"/>
      <c r="B316" s="34"/>
      <c r="C316" s="124"/>
      <c r="D316" s="34"/>
      <c r="E316" s="34"/>
    </row>
    <row r="317">
      <c r="A317" s="34"/>
      <c r="B317" s="34"/>
      <c r="C317" s="124"/>
      <c r="D317" s="34"/>
      <c r="E317" s="34"/>
    </row>
    <row r="318">
      <c r="A318" s="34"/>
      <c r="B318" s="34"/>
      <c r="C318" s="124"/>
      <c r="D318" s="34"/>
      <c r="E318" s="34"/>
    </row>
    <row r="319">
      <c r="A319" s="34"/>
      <c r="B319" s="34"/>
      <c r="C319" s="124"/>
      <c r="D319" s="34"/>
      <c r="E319" s="34"/>
    </row>
    <row r="320">
      <c r="A320" s="34"/>
      <c r="B320" s="34"/>
      <c r="C320" s="124"/>
      <c r="D320" s="34"/>
      <c r="E320" s="34"/>
    </row>
    <row r="321">
      <c r="A321" s="34"/>
      <c r="B321" s="34"/>
      <c r="C321" s="124"/>
      <c r="D321" s="34"/>
      <c r="E321" s="34"/>
    </row>
    <row r="322">
      <c r="A322" s="34"/>
      <c r="B322" s="34"/>
      <c r="C322" s="124"/>
      <c r="D322" s="34"/>
      <c r="E322" s="34"/>
    </row>
    <row r="323">
      <c r="A323" s="34"/>
      <c r="B323" s="34"/>
      <c r="C323" s="124"/>
      <c r="D323" s="34"/>
      <c r="E323" s="34"/>
    </row>
    <row r="324">
      <c r="A324" s="34"/>
      <c r="B324" s="34"/>
      <c r="C324" s="124"/>
      <c r="D324" s="34"/>
      <c r="E324" s="34"/>
    </row>
    <row r="325">
      <c r="A325" s="34"/>
      <c r="B325" s="34"/>
      <c r="C325" s="124"/>
      <c r="D325" s="34"/>
      <c r="E325" s="34"/>
    </row>
    <row r="326">
      <c r="A326" s="34"/>
      <c r="B326" s="34"/>
      <c r="C326" s="124"/>
      <c r="D326" s="34"/>
      <c r="E326" s="34"/>
    </row>
    <row r="327">
      <c r="A327" s="34"/>
      <c r="B327" s="34"/>
      <c r="C327" s="124"/>
      <c r="D327" s="34"/>
      <c r="E327" s="34"/>
    </row>
    <row r="328">
      <c r="A328" s="34"/>
      <c r="B328" s="34"/>
      <c r="C328" s="124"/>
      <c r="D328" s="34"/>
      <c r="E328" s="34"/>
    </row>
    <row r="329">
      <c r="A329" s="34"/>
      <c r="B329" s="34"/>
      <c r="C329" s="124"/>
      <c r="D329" s="34"/>
      <c r="E329" s="34"/>
    </row>
    <row r="330">
      <c r="A330" s="34"/>
      <c r="B330" s="34"/>
      <c r="C330" s="124"/>
      <c r="D330" s="34"/>
      <c r="E330" s="34"/>
    </row>
    <row r="331">
      <c r="A331" s="34"/>
      <c r="B331" s="34"/>
      <c r="C331" s="124"/>
      <c r="D331" s="34"/>
      <c r="E331" s="34"/>
    </row>
    <row r="332">
      <c r="A332" s="34"/>
      <c r="B332" s="34"/>
      <c r="C332" s="124"/>
      <c r="D332" s="34"/>
      <c r="E332" s="34"/>
    </row>
    <row r="333">
      <c r="A333" s="34"/>
      <c r="B333" s="34"/>
      <c r="C333" s="124"/>
      <c r="D333" s="34"/>
      <c r="E333" s="34"/>
    </row>
    <row r="334">
      <c r="A334" s="34"/>
      <c r="B334" s="34"/>
      <c r="C334" s="124"/>
      <c r="D334" s="34"/>
      <c r="E334" s="34"/>
    </row>
    <row r="335">
      <c r="A335" s="34"/>
      <c r="B335" s="34"/>
      <c r="C335" s="124"/>
      <c r="D335" s="34"/>
      <c r="E335" s="34"/>
    </row>
    <row r="336">
      <c r="A336" s="34"/>
      <c r="B336" s="34"/>
      <c r="C336" s="124"/>
      <c r="D336" s="34"/>
      <c r="E336" s="34"/>
    </row>
    <row r="337">
      <c r="A337" s="34"/>
      <c r="B337" s="34"/>
      <c r="C337" s="124"/>
      <c r="D337" s="34"/>
      <c r="E337" s="34"/>
    </row>
    <row r="338">
      <c r="A338" s="34"/>
      <c r="B338" s="34"/>
      <c r="C338" s="124"/>
      <c r="D338" s="34"/>
      <c r="E338" s="34"/>
    </row>
    <row r="339">
      <c r="A339" s="34"/>
      <c r="B339" s="34"/>
      <c r="C339" s="124"/>
      <c r="D339" s="34"/>
      <c r="E339" s="34"/>
    </row>
    <row r="340">
      <c r="A340" s="34"/>
      <c r="B340" s="34"/>
      <c r="C340" s="124"/>
      <c r="D340" s="34"/>
      <c r="E340" s="34"/>
    </row>
    <row r="341">
      <c r="A341" s="34"/>
      <c r="B341" s="34"/>
      <c r="C341" s="124"/>
      <c r="D341" s="34"/>
      <c r="E341" s="34"/>
    </row>
    <row r="342">
      <c r="A342" s="34"/>
      <c r="B342" s="34"/>
      <c r="C342" s="124"/>
      <c r="D342" s="34"/>
      <c r="E342" s="34"/>
    </row>
    <row r="343">
      <c r="A343" s="34"/>
      <c r="B343" s="34"/>
      <c r="C343" s="124"/>
      <c r="D343" s="34"/>
      <c r="E343" s="34"/>
    </row>
    <row r="344">
      <c r="A344" s="34"/>
      <c r="B344" s="34"/>
      <c r="C344" s="124"/>
      <c r="D344" s="34"/>
      <c r="E344" s="34"/>
    </row>
    <row r="345">
      <c r="A345" s="34"/>
      <c r="B345" s="34"/>
      <c r="C345" s="124"/>
      <c r="D345" s="34"/>
      <c r="E345" s="34"/>
    </row>
    <row r="346">
      <c r="A346" s="34"/>
      <c r="B346" s="34"/>
      <c r="C346" s="124"/>
      <c r="D346" s="34"/>
      <c r="E346" s="34"/>
    </row>
    <row r="347">
      <c r="A347" s="34"/>
      <c r="B347" s="34"/>
      <c r="C347" s="124"/>
      <c r="D347" s="34"/>
      <c r="E347" s="34"/>
    </row>
    <row r="348">
      <c r="A348" s="34"/>
      <c r="B348" s="34"/>
      <c r="C348" s="124"/>
      <c r="D348" s="34"/>
      <c r="E348" s="34"/>
    </row>
    <row r="349">
      <c r="A349" s="34"/>
      <c r="B349" s="34"/>
      <c r="C349" s="124"/>
      <c r="D349" s="34"/>
      <c r="E349" s="34"/>
    </row>
    <row r="350">
      <c r="A350" s="34"/>
      <c r="B350" s="34"/>
      <c r="C350" s="124"/>
      <c r="D350" s="34"/>
      <c r="E350" s="34"/>
    </row>
    <row r="351">
      <c r="A351" s="34"/>
      <c r="B351" s="34"/>
      <c r="C351" s="124"/>
      <c r="D351" s="34"/>
      <c r="E351" s="34"/>
    </row>
    <row r="352">
      <c r="A352" s="34"/>
      <c r="B352" s="34"/>
      <c r="C352" s="124"/>
      <c r="D352" s="34"/>
      <c r="E352" s="34"/>
    </row>
    <row r="353">
      <c r="A353" s="34"/>
      <c r="B353" s="34"/>
      <c r="C353" s="124"/>
      <c r="D353" s="34"/>
      <c r="E353" s="34"/>
    </row>
    <row r="354">
      <c r="A354" s="34"/>
      <c r="B354" s="34"/>
      <c r="C354" s="124"/>
      <c r="D354" s="34"/>
      <c r="E354" s="34"/>
    </row>
    <row r="355">
      <c r="A355" s="34"/>
      <c r="B355" s="34"/>
      <c r="C355" s="124"/>
      <c r="D355" s="34"/>
      <c r="E355" s="34"/>
    </row>
    <row r="356">
      <c r="A356" s="34"/>
      <c r="B356" s="34"/>
      <c r="C356" s="124"/>
      <c r="D356" s="34"/>
      <c r="E356" s="34"/>
    </row>
    <row r="357">
      <c r="A357" s="34"/>
      <c r="B357" s="34"/>
      <c r="C357" s="124"/>
      <c r="D357" s="34"/>
      <c r="E357" s="34"/>
    </row>
    <row r="358">
      <c r="A358" s="34"/>
      <c r="B358" s="34"/>
      <c r="C358" s="124"/>
      <c r="D358" s="34"/>
      <c r="E358" s="34"/>
    </row>
    <row r="359">
      <c r="A359" s="34"/>
      <c r="B359" s="34"/>
      <c r="C359" s="124"/>
      <c r="D359" s="34"/>
      <c r="E359" s="34"/>
    </row>
    <row r="360">
      <c r="A360" s="34"/>
      <c r="B360" s="34"/>
      <c r="C360" s="124"/>
      <c r="D360" s="34"/>
      <c r="E360" s="34"/>
    </row>
    <row r="361">
      <c r="A361" s="34"/>
      <c r="B361" s="34"/>
      <c r="C361" s="124"/>
      <c r="D361" s="34"/>
      <c r="E361" s="34"/>
    </row>
    <row r="362">
      <c r="A362" s="34"/>
      <c r="B362" s="34"/>
      <c r="C362" s="124"/>
      <c r="D362" s="34"/>
      <c r="E362" s="34"/>
    </row>
    <row r="363">
      <c r="A363" s="34"/>
      <c r="B363" s="34"/>
      <c r="C363" s="124"/>
      <c r="D363" s="34"/>
      <c r="E363" s="34"/>
    </row>
    <row r="364">
      <c r="A364" s="34"/>
      <c r="B364" s="34"/>
      <c r="C364" s="124"/>
      <c r="D364" s="34"/>
      <c r="E364" s="34"/>
    </row>
    <row r="365">
      <c r="A365" s="34"/>
      <c r="B365" s="34"/>
      <c r="C365" s="124"/>
      <c r="D365" s="34"/>
      <c r="E365" s="34"/>
    </row>
    <row r="366">
      <c r="A366" s="34"/>
      <c r="B366" s="34"/>
      <c r="C366" s="124"/>
      <c r="D366" s="34"/>
      <c r="E366" s="34"/>
    </row>
    <row r="367">
      <c r="A367" s="34"/>
      <c r="B367" s="34"/>
      <c r="C367" s="124"/>
      <c r="D367" s="34"/>
      <c r="E367" s="34"/>
    </row>
    <row r="368">
      <c r="A368" s="34"/>
      <c r="B368" s="34"/>
      <c r="C368" s="124"/>
      <c r="D368" s="34"/>
      <c r="E368" s="34"/>
    </row>
    <row r="369">
      <c r="A369" s="34"/>
      <c r="B369" s="34"/>
      <c r="C369" s="124"/>
      <c r="D369" s="34"/>
      <c r="E369" s="34"/>
    </row>
    <row r="370">
      <c r="A370" s="34"/>
      <c r="B370" s="34"/>
      <c r="C370" s="124"/>
      <c r="D370" s="34"/>
      <c r="E370" s="34"/>
    </row>
    <row r="371">
      <c r="A371" s="34"/>
      <c r="B371" s="34"/>
      <c r="C371" s="124"/>
      <c r="D371" s="34"/>
      <c r="E371" s="34"/>
    </row>
    <row r="372">
      <c r="A372" s="34"/>
      <c r="B372" s="34"/>
      <c r="C372" s="124"/>
      <c r="D372" s="34"/>
      <c r="E372" s="34"/>
    </row>
    <row r="373">
      <c r="A373" s="34"/>
      <c r="B373" s="34"/>
      <c r="C373" s="124"/>
      <c r="D373" s="34"/>
      <c r="E373" s="34"/>
    </row>
    <row r="374">
      <c r="A374" s="34"/>
      <c r="B374" s="34"/>
      <c r="C374" s="124"/>
      <c r="D374" s="34"/>
      <c r="E374" s="34"/>
    </row>
    <row r="375">
      <c r="A375" s="34"/>
      <c r="B375" s="34"/>
      <c r="C375" s="124"/>
      <c r="D375" s="34"/>
      <c r="E375" s="34"/>
    </row>
    <row r="376">
      <c r="A376" s="34"/>
      <c r="B376" s="34"/>
      <c r="C376" s="124"/>
      <c r="D376" s="34"/>
      <c r="E376" s="34"/>
    </row>
    <row r="377">
      <c r="A377" s="34"/>
      <c r="B377" s="34"/>
      <c r="C377" s="124"/>
      <c r="D377" s="34"/>
      <c r="E377" s="34"/>
    </row>
    <row r="378">
      <c r="A378" s="34"/>
      <c r="B378" s="34"/>
      <c r="C378" s="124"/>
      <c r="D378" s="34"/>
      <c r="E378" s="34"/>
    </row>
    <row r="379">
      <c r="A379" s="34"/>
      <c r="B379" s="34"/>
      <c r="C379" s="124"/>
      <c r="D379" s="34"/>
      <c r="E379" s="34"/>
    </row>
    <row r="380">
      <c r="A380" s="34"/>
      <c r="B380" s="34"/>
      <c r="C380" s="124"/>
      <c r="D380" s="34"/>
      <c r="E380" s="34"/>
    </row>
    <row r="381">
      <c r="A381" s="34"/>
      <c r="B381" s="34"/>
      <c r="C381" s="124"/>
      <c r="D381" s="34"/>
      <c r="E381" s="34"/>
    </row>
    <row r="382">
      <c r="A382" s="34"/>
      <c r="B382" s="34"/>
      <c r="C382" s="124"/>
      <c r="D382" s="34"/>
      <c r="E382" s="34"/>
    </row>
    <row r="383">
      <c r="A383" s="34"/>
      <c r="B383" s="34"/>
      <c r="C383" s="124"/>
      <c r="D383" s="34"/>
      <c r="E383" s="34"/>
    </row>
    <row r="384">
      <c r="A384" s="34"/>
      <c r="B384" s="34"/>
      <c r="C384" s="124"/>
      <c r="D384" s="34"/>
      <c r="E384" s="34"/>
    </row>
    <row r="385">
      <c r="A385" s="34"/>
      <c r="B385" s="34"/>
      <c r="C385" s="124"/>
      <c r="D385" s="34"/>
      <c r="E385" s="34"/>
    </row>
    <row r="386">
      <c r="A386" s="34"/>
      <c r="B386" s="34"/>
      <c r="C386" s="124"/>
      <c r="D386" s="34"/>
      <c r="E386" s="34"/>
    </row>
    <row r="387">
      <c r="A387" s="34"/>
      <c r="B387" s="34"/>
      <c r="C387" s="124"/>
      <c r="D387" s="34"/>
      <c r="E387" s="34"/>
    </row>
    <row r="388">
      <c r="A388" s="34"/>
      <c r="B388" s="34"/>
      <c r="C388" s="124"/>
      <c r="D388" s="34"/>
      <c r="E388" s="34"/>
    </row>
    <row r="389">
      <c r="A389" s="34"/>
      <c r="B389" s="34"/>
      <c r="C389" s="124"/>
      <c r="D389" s="34"/>
      <c r="E389" s="34"/>
    </row>
    <row r="390">
      <c r="A390" s="34"/>
      <c r="B390" s="34"/>
      <c r="C390" s="124"/>
      <c r="D390" s="34"/>
      <c r="E390" s="34"/>
    </row>
    <row r="391">
      <c r="A391" s="34"/>
      <c r="B391" s="34"/>
      <c r="C391" s="124"/>
      <c r="D391" s="34"/>
      <c r="E391" s="34"/>
    </row>
    <row r="392">
      <c r="A392" s="34"/>
      <c r="B392" s="34"/>
      <c r="C392" s="124"/>
      <c r="D392" s="34"/>
      <c r="E392" s="34"/>
    </row>
    <row r="393">
      <c r="A393" s="34"/>
      <c r="B393" s="34"/>
      <c r="C393" s="124"/>
      <c r="D393" s="34"/>
      <c r="E393" s="34"/>
    </row>
    <row r="394">
      <c r="A394" s="34"/>
      <c r="B394" s="34"/>
      <c r="C394" s="124"/>
      <c r="D394" s="34"/>
      <c r="E394" s="34"/>
    </row>
    <row r="395">
      <c r="A395" s="34"/>
      <c r="B395" s="34"/>
      <c r="C395" s="124"/>
      <c r="D395" s="34"/>
      <c r="E395" s="34"/>
    </row>
    <row r="396">
      <c r="A396" s="34"/>
      <c r="B396" s="34"/>
      <c r="C396" s="124"/>
      <c r="D396" s="34"/>
      <c r="E396" s="34"/>
    </row>
    <row r="397">
      <c r="A397" s="34"/>
      <c r="B397" s="34"/>
      <c r="C397" s="124"/>
      <c r="D397" s="34"/>
      <c r="E397" s="34"/>
    </row>
    <row r="398">
      <c r="A398" s="34"/>
      <c r="B398" s="34"/>
      <c r="C398" s="124"/>
      <c r="D398" s="34"/>
      <c r="E398" s="34"/>
    </row>
    <row r="399">
      <c r="A399" s="34"/>
      <c r="B399" s="34"/>
      <c r="C399" s="124"/>
      <c r="D399" s="34"/>
      <c r="E399" s="34"/>
    </row>
    <row r="400">
      <c r="A400" s="34"/>
      <c r="B400" s="34"/>
      <c r="C400" s="124"/>
      <c r="D400" s="34"/>
      <c r="E400" s="34"/>
    </row>
    <row r="401">
      <c r="A401" s="34"/>
      <c r="B401" s="34"/>
      <c r="C401" s="124"/>
      <c r="D401" s="34"/>
      <c r="E401" s="34"/>
    </row>
    <row r="402">
      <c r="A402" s="34"/>
      <c r="B402" s="34"/>
      <c r="C402" s="124"/>
      <c r="D402" s="34"/>
      <c r="E402" s="34"/>
    </row>
    <row r="403">
      <c r="A403" s="34"/>
      <c r="B403" s="34"/>
      <c r="C403" s="124"/>
      <c r="D403" s="34"/>
      <c r="E403" s="34"/>
    </row>
    <row r="404">
      <c r="A404" s="34"/>
      <c r="B404" s="34"/>
      <c r="C404" s="124"/>
      <c r="D404" s="34"/>
      <c r="E404" s="34"/>
    </row>
    <row r="405">
      <c r="A405" s="34"/>
      <c r="B405" s="34"/>
      <c r="C405" s="124"/>
      <c r="D405" s="34"/>
      <c r="E405" s="34"/>
    </row>
    <row r="406">
      <c r="A406" s="34"/>
      <c r="B406" s="34"/>
      <c r="C406" s="124"/>
      <c r="D406" s="34"/>
      <c r="E406" s="34"/>
    </row>
    <row r="407">
      <c r="A407" s="34"/>
      <c r="B407" s="34"/>
      <c r="C407" s="124"/>
      <c r="D407" s="34"/>
      <c r="E407" s="34"/>
    </row>
    <row r="408">
      <c r="A408" s="34"/>
      <c r="B408" s="34"/>
      <c r="C408" s="124"/>
      <c r="D408" s="34"/>
      <c r="E408" s="34"/>
    </row>
    <row r="409">
      <c r="A409" s="34"/>
      <c r="B409" s="34"/>
      <c r="C409" s="124"/>
      <c r="D409" s="34"/>
      <c r="E409" s="34"/>
    </row>
    <row r="410">
      <c r="A410" s="34"/>
      <c r="B410" s="34"/>
      <c r="C410" s="124"/>
      <c r="D410" s="34"/>
      <c r="E410" s="34"/>
    </row>
    <row r="411">
      <c r="A411" s="34"/>
      <c r="B411" s="34"/>
      <c r="C411" s="124"/>
      <c r="D411" s="34"/>
      <c r="E411" s="34"/>
    </row>
    <row r="412">
      <c r="A412" s="34"/>
      <c r="B412" s="34"/>
      <c r="C412" s="124"/>
      <c r="D412" s="34"/>
      <c r="E412" s="34"/>
    </row>
    <row r="413">
      <c r="A413" s="34"/>
      <c r="B413" s="34"/>
      <c r="C413" s="124"/>
      <c r="D413" s="34"/>
      <c r="E413" s="34"/>
    </row>
    <row r="414">
      <c r="A414" s="34"/>
      <c r="B414" s="34"/>
      <c r="C414" s="124"/>
      <c r="D414" s="34"/>
      <c r="E414" s="34"/>
    </row>
    <row r="415">
      <c r="A415" s="34"/>
      <c r="B415" s="34"/>
      <c r="C415" s="124"/>
      <c r="D415" s="34"/>
      <c r="E415" s="34"/>
    </row>
    <row r="416">
      <c r="A416" s="34"/>
      <c r="B416" s="34"/>
      <c r="C416" s="124"/>
      <c r="D416" s="34"/>
      <c r="E416" s="34"/>
    </row>
    <row r="417">
      <c r="A417" s="34"/>
      <c r="B417" s="34"/>
      <c r="C417" s="124"/>
      <c r="D417" s="34"/>
      <c r="E417" s="34"/>
    </row>
    <row r="418">
      <c r="A418" s="34"/>
      <c r="B418" s="34"/>
      <c r="C418" s="124"/>
      <c r="D418" s="34"/>
      <c r="E418" s="34"/>
    </row>
    <row r="419">
      <c r="A419" s="34"/>
      <c r="B419" s="34"/>
      <c r="C419" s="124"/>
      <c r="D419" s="34"/>
      <c r="E419" s="34"/>
    </row>
    <row r="420">
      <c r="A420" s="34"/>
      <c r="B420" s="34"/>
      <c r="C420" s="124"/>
      <c r="D420" s="34"/>
      <c r="E420" s="34"/>
    </row>
    <row r="421">
      <c r="A421" s="34"/>
      <c r="B421" s="34"/>
      <c r="C421" s="124"/>
      <c r="D421" s="34"/>
      <c r="E421" s="34"/>
    </row>
    <row r="422">
      <c r="A422" s="34"/>
      <c r="B422" s="34"/>
      <c r="C422" s="124"/>
      <c r="D422" s="34"/>
      <c r="E422" s="34"/>
    </row>
    <row r="423">
      <c r="A423" s="34"/>
      <c r="B423" s="34"/>
      <c r="C423" s="124"/>
      <c r="D423" s="34"/>
      <c r="E423" s="34"/>
    </row>
    <row r="424">
      <c r="A424" s="34"/>
      <c r="B424" s="34"/>
      <c r="C424" s="124"/>
      <c r="D424" s="34"/>
      <c r="E424" s="34"/>
    </row>
    <row r="425">
      <c r="A425" s="34"/>
      <c r="B425" s="34"/>
      <c r="C425" s="124"/>
      <c r="D425" s="34"/>
      <c r="E425" s="34"/>
    </row>
    <row r="426">
      <c r="A426" s="34"/>
      <c r="B426" s="34"/>
      <c r="C426" s="124"/>
      <c r="D426" s="34"/>
      <c r="E426" s="34"/>
    </row>
    <row r="427">
      <c r="A427" s="34"/>
      <c r="B427" s="34"/>
      <c r="C427" s="124"/>
      <c r="D427" s="34"/>
      <c r="E427" s="34"/>
    </row>
    <row r="428">
      <c r="A428" s="34"/>
      <c r="B428" s="34"/>
      <c r="C428" s="124"/>
      <c r="D428" s="34"/>
      <c r="E428" s="34"/>
    </row>
    <row r="429">
      <c r="A429" s="34"/>
      <c r="B429" s="34"/>
      <c r="C429" s="124"/>
      <c r="D429" s="34"/>
      <c r="E429" s="34"/>
    </row>
    <row r="430">
      <c r="A430" s="34"/>
      <c r="B430" s="34"/>
      <c r="C430" s="124"/>
      <c r="D430" s="34"/>
      <c r="E430" s="34"/>
    </row>
    <row r="431">
      <c r="A431" s="34"/>
      <c r="B431" s="34"/>
      <c r="C431" s="124"/>
      <c r="D431" s="34"/>
      <c r="E431" s="34"/>
    </row>
    <row r="432">
      <c r="A432" s="34"/>
      <c r="B432" s="34"/>
      <c r="C432" s="124"/>
      <c r="D432" s="34"/>
      <c r="E432" s="34"/>
    </row>
    <row r="433">
      <c r="A433" s="34"/>
      <c r="B433" s="34"/>
      <c r="C433" s="124"/>
      <c r="D433" s="34"/>
      <c r="E433" s="34"/>
    </row>
    <row r="434">
      <c r="A434" s="34"/>
      <c r="B434" s="34"/>
      <c r="C434" s="124"/>
      <c r="D434" s="34"/>
      <c r="E434" s="34"/>
    </row>
    <row r="435">
      <c r="A435" s="34"/>
      <c r="B435" s="34"/>
      <c r="C435" s="124"/>
      <c r="D435" s="34"/>
      <c r="E435" s="34"/>
    </row>
    <row r="436">
      <c r="A436" s="34"/>
      <c r="B436" s="34"/>
      <c r="C436" s="124"/>
      <c r="D436" s="34"/>
      <c r="E436" s="34"/>
    </row>
    <row r="437">
      <c r="A437" s="34"/>
      <c r="B437" s="34"/>
      <c r="C437" s="124"/>
      <c r="D437" s="34"/>
      <c r="E437" s="34"/>
    </row>
    <row r="438">
      <c r="A438" s="34"/>
      <c r="B438" s="34"/>
      <c r="C438" s="124"/>
      <c r="D438" s="34"/>
      <c r="E438" s="34"/>
    </row>
    <row r="439">
      <c r="A439" s="34"/>
      <c r="B439" s="34"/>
      <c r="C439" s="124"/>
      <c r="D439" s="34"/>
      <c r="E439" s="34"/>
    </row>
    <row r="440">
      <c r="A440" s="34"/>
      <c r="B440" s="34"/>
      <c r="C440" s="124"/>
      <c r="D440" s="34"/>
      <c r="E440" s="34"/>
    </row>
    <row r="441">
      <c r="A441" s="34"/>
      <c r="B441" s="34"/>
      <c r="C441" s="124"/>
      <c r="D441" s="34"/>
      <c r="E441" s="34"/>
    </row>
    <row r="442">
      <c r="A442" s="34"/>
      <c r="B442" s="34"/>
      <c r="C442" s="124"/>
      <c r="D442" s="34"/>
      <c r="E442" s="34"/>
    </row>
    <row r="443">
      <c r="A443" s="34"/>
      <c r="B443" s="34"/>
      <c r="C443" s="124"/>
      <c r="D443" s="34"/>
      <c r="E443" s="34"/>
    </row>
    <row r="444">
      <c r="A444" s="34"/>
      <c r="B444" s="34"/>
      <c r="C444" s="124"/>
      <c r="D444" s="34"/>
      <c r="E444" s="34"/>
    </row>
    <row r="445">
      <c r="A445" s="34"/>
      <c r="B445" s="34"/>
      <c r="C445" s="124"/>
      <c r="D445" s="34"/>
      <c r="E445" s="34"/>
    </row>
    <row r="446">
      <c r="A446" s="34"/>
      <c r="B446" s="34"/>
      <c r="C446" s="124"/>
      <c r="D446" s="34"/>
      <c r="E446" s="34"/>
    </row>
    <row r="447">
      <c r="A447" s="34"/>
      <c r="B447" s="34"/>
      <c r="C447" s="124"/>
      <c r="D447" s="34"/>
      <c r="E447" s="34"/>
    </row>
    <row r="448">
      <c r="A448" s="34"/>
      <c r="B448" s="34"/>
      <c r="C448" s="124"/>
      <c r="D448" s="34"/>
      <c r="E448" s="34"/>
    </row>
    <row r="449">
      <c r="A449" s="34"/>
      <c r="B449" s="34"/>
      <c r="C449" s="124"/>
      <c r="D449" s="34"/>
      <c r="E449" s="34"/>
    </row>
    <row r="450">
      <c r="A450" s="34"/>
      <c r="B450" s="34"/>
      <c r="C450" s="124"/>
      <c r="D450" s="34"/>
      <c r="E450" s="34"/>
    </row>
    <row r="451">
      <c r="A451" s="34"/>
      <c r="B451" s="34"/>
      <c r="C451" s="124"/>
      <c r="D451" s="34"/>
      <c r="E451" s="34"/>
    </row>
    <row r="452">
      <c r="A452" s="34"/>
      <c r="B452" s="34"/>
      <c r="C452" s="124"/>
      <c r="D452" s="34"/>
      <c r="E452" s="34"/>
    </row>
    <row r="453">
      <c r="A453" s="34"/>
      <c r="B453" s="34"/>
      <c r="C453" s="124"/>
      <c r="D453" s="34"/>
      <c r="E453" s="34"/>
    </row>
    <row r="454">
      <c r="A454" s="34"/>
      <c r="B454" s="34"/>
      <c r="C454" s="124"/>
      <c r="D454" s="34"/>
      <c r="E454" s="34"/>
    </row>
    <row r="455">
      <c r="A455" s="34"/>
      <c r="B455" s="34"/>
      <c r="C455" s="124"/>
      <c r="D455" s="34"/>
      <c r="E455" s="34"/>
    </row>
    <row r="456">
      <c r="A456" s="34"/>
      <c r="B456" s="34"/>
      <c r="C456" s="124"/>
      <c r="D456" s="34"/>
      <c r="E456" s="34"/>
    </row>
    <row r="457">
      <c r="A457" s="34"/>
      <c r="B457" s="34"/>
      <c r="C457" s="124"/>
      <c r="D457" s="34"/>
      <c r="E457" s="34"/>
    </row>
    <row r="458">
      <c r="A458" s="34"/>
      <c r="B458" s="34"/>
      <c r="C458" s="124"/>
      <c r="D458" s="34"/>
      <c r="E458" s="34"/>
    </row>
    <row r="459">
      <c r="A459" s="34"/>
      <c r="B459" s="34"/>
      <c r="C459" s="124"/>
      <c r="D459" s="34"/>
      <c r="E459" s="34"/>
    </row>
    <row r="460">
      <c r="A460" s="34"/>
      <c r="B460" s="34"/>
      <c r="C460" s="124"/>
      <c r="D460" s="34"/>
      <c r="E460" s="34"/>
    </row>
    <row r="461">
      <c r="A461" s="34"/>
      <c r="B461" s="34"/>
      <c r="C461" s="124"/>
      <c r="D461" s="34"/>
      <c r="E461" s="34"/>
    </row>
    <row r="462">
      <c r="A462" s="34"/>
      <c r="B462" s="34"/>
      <c r="C462" s="124"/>
      <c r="D462" s="34"/>
      <c r="E462" s="34"/>
    </row>
    <row r="463">
      <c r="A463" s="34"/>
      <c r="B463" s="34"/>
      <c r="C463" s="124"/>
      <c r="D463" s="34"/>
      <c r="E463" s="34"/>
    </row>
    <row r="464">
      <c r="A464" s="34"/>
      <c r="B464" s="34"/>
      <c r="C464" s="124"/>
      <c r="D464" s="34"/>
      <c r="E464" s="34"/>
    </row>
    <row r="465">
      <c r="A465" s="34"/>
      <c r="B465" s="34"/>
      <c r="C465" s="124"/>
      <c r="D465" s="34"/>
      <c r="E465" s="34"/>
    </row>
    <row r="466">
      <c r="A466" s="34"/>
      <c r="B466" s="34"/>
      <c r="C466" s="124"/>
      <c r="D466" s="34"/>
      <c r="E466" s="34"/>
    </row>
    <row r="467">
      <c r="A467" s="34"/>
      <c r="B467" s="34"/>
      <c r="C467" s="124"/>
      <c r="D467" s="34"/>
      <c r="E467" s="34"/>
    </row>
    <row r="468">
      <c r="A468" s="34"/>
      <c r="B468" s="34"/>
      <c r="C468" s="124"/>
      <c r="D468" s="34"/>
      <c r="E468" s="34"/>
    </row>
    <row r="469">
      <c r="A469" s="34"/>
      <c r="B469" s="34"/>
      <c r="C469" s="124"/>
      <c r="D469" s="34"/>
      <c r="E469" s="34"/>
    </row>
    <row r="470">
      <c r="A470" s="34"/>
      <c r="B470" s="34"/>
      <c r="C470" s="124"/>
      <c r="D470" s="34"/>
      <c r="E470" s="34"/>
    </row>
    <row r="471">
      <c r="A471" s="34"/>
      <c r="B471" s="34"/>
      <c r="C471" s="124"/>
      <c r="D471" s="34"/>
      <c r="E471" s="34"/>
    </row>
    <row r="472">
      <c r="A472" s="34"/>
      <c r="B472" s="34"/>
      <c r="C472" s="124"/>
      <c r="D472" s="34"/>
      <c r="E472" s="34"/>
    </row>
    <row r="473">
      <c r="A473" s="34"/>
      <c r="B473" s="34"/>
      <c r="C473" s="124"/>
      <c r="D473" s="34"/>
      <c r="E473" s="34"/>
    </row>
    <row r="474">
      <c r="A474" s="34"/>
      <c r="B474" s="34"/>
      <c r="C474" s="124"/>
      <c r="D474" s="34"/>
      <c r="E474" s="34"/>
    </row>
    <row r="475">
      <c r="A475" s="34"/>
      <c r="B475" s="34"/>
      <c r="C475" s="124"/>
      <c r="D475" s="34"/>
      <c r="E475" s="34"/>
    </row>
    <row r="476">
      <c r="A476" s="34"/>
      <c r="B476" s="34"/>
      <c r="C476" s="124"/>
      <c r="D476" s="34"/>
      <c r="E476" s="34"/>
    </row>
    <row r="477">
      <c r="A477" s="34"/>
      <c r="B477" s="34"/>
      <c r="C477" s="124"/>
      <c r="D477" s="34"/>
      <c r="E477" s="34"/>
    </row>
    <row r="478">
      <c r="A478" s="34"/>
      <c r="B478" s="34"/>
      <c r="C478" s="124"/>
      <c r="D478" s="34"/>
      <c r="E478" s="34"/>
    </row>
    <row r="479">
      <c r="A479" s="34"/>
      <c r="B479" s="34"/>
      <c r="C479" s="124"/>
      <c r="D479" s="34"/>
      <c r="E479" s="34"/>
    </row>
    <row r="480">
      <c r="A480" s="34"/>
      <c r="B480" s="34"/>
      <c r="C480" s="124"/>
      <c r="D480" s="34"/>
      <c r="E480" s="34"/>
    </row>
    <row r="481">
      <c r="A481" s="34"/>
      <c r="B481" s="34"/>
      <c r="C481" s="124"/>
      <c r="D481" s="34"/>
      <c r="E481" s="34"/>
    </row>
    <row r="482">
      <c r="A482" s="34"/>
      <c r="B482" s="34"/>
      <c r="C482" s="124"/>
      <c r="D482" s="34"/>
      <c r="E482" s="34"/>
    </row>
    <row r="483">
      <c r="A483" s="34"/>
      <c r="B483" s="34"/>
      <c r="C483" s="124"/>
      <c r="D483" s="34"/>
      <c r="E483" s="34"/>
    </row>
    <row r="484">
      <c r="A484" s="34"/>
      <c r="B484" s="34"/>
      <c r="C484" s="124"/>
      <c r="D484" s="34"/>
      <c r="E484" s="34"/>
    </row>
    <row r="485">
      <c r="A485" s="34"/>
      <c r="B485" s="34"/>
      <c r="C485" s="124"/>
      <c r="D485" s="34"/>
      <c r="E485" s="34"/>
    </row>
    <row r="486">
      <c r="A486" s="34"/>
      <c r="B486" s="34"/>
      <c r="C486" s="124"/>
      <c r="D486" s="34"/>
      <c r="E486" s="34"/>
    </row>
    <row r="487">
      <c r="A487" s="34"/>
      <c r="B487" s="34"/>
      <c r="C487" s="124"/>
      <c r="D487" s="34"/>
      <c r="E487" s="34"/>
    </row>
    <row r="488">
      <c r="A488" s="34"/>
      <c r="B488" s="34"/>
      <c r="C488" s="124"/>
      <c r="D488" s="34"/>
      <c r="E488" s="34"/>
    </row>
    <row r="489">
      <c r="A489" s="34"/>
      <c r="B489" s="34"/>
      <c r="C489" s="124"/>
      <c r="D489" s="34"/>
      <c r="E489" s="34"/>
    </row>
    <row r="490">
      <c r="A490" s="34"/>
      <c r="B490" s="34"/>
      <c r="C490" s="124"/>
      <c r="D490" s="34"/>
      <c r="E490" s="34"/>
    </row>
    <row r="491">
      <c r="A491" s="34"/>
      <c r="B491" s="34"/>
      <c r="C491" s="124"/>
      <c r="D491" s="34"/>
      <c r="E491" s="34"/>
    </row>
    <row r="492">
      <c r="A492" s="34"/>
      <c r="B492" s="34"/>
      <c r="C492" s="124"/>
      <c r="D492" s="34"/>
      <c r="E492" s="34"/>
    </row>
    <row r="493">
      <c r="A493" s="34"/>
      <c r="B493" s="34"/>
      <c r="C493" s="124"/>
      <c r="D493" s="34"/>
      <c r="E493" s="34"/>
    </row>
    <row r="494">
      <c r="A494" s="34"/>
      <c r="B494" s="34"/>
      <c r="C494" s="124"/>
      <c r="D494" s="34"/>
      <c r="E494" s="34"/>
    </row>
    <row r="495">
      <c r="A495" s="34"/>
      <c r="B495" s="34"/>
      <c r="C495" s="124"/>
      <c r="D495" s="34"/>
      <c r="E495" s="34"/>
    </row>
    <row r="496">
      <c r="A496" s="34"/>
      <c r="B496" s="34"/>
      <c r="C496" s="124"/>
      <c r="D496" s="34"/>
      <c r="E496" s="34"/>
    </row>
    <row r="497">
      <c r="A497" s="34"/>
      <c r="B497" s="34"/>
      <c r="C497" s="124"/>
      <c r="D497" s="34"/>
      <c r="E497" s="34"/>
    </row>
    <row r="498">
      <c r="A498" s="34"/>
      <c r="B498" s="34"/>
      <c r="C498" s="124"/>
      <c r="D498" s="34"/>
      <c r="E498" s="34"/>
    </row>
    <row r="499">
      <c r="A499" s="34"/>
      <c r="B499" s="34"/>
      <c r="C499" s="124"/>
      <c r="D499" s="34"/>
      <c r="E499" s="34"/>
    </row>
    <row r="500">
      <c r="A500" s="34"/>
      <c r="B500" s="34"/>
      <c r="C500" s="124"/>
      <c r="D500" s="34"/>
      <c r="E500" s="34"/>
    </row>
    <row r="501">
      <c r="A501" s="34"/>
      <c r="B501" s="34"/>
      <c r="C501" s="124"/>
      <c r="D501" s="34"/>
      <c r="E501" s="34"/>
    </row>
    <row r="502">
      <c r="A502" s="34"/>
      <c r="B502" s="34"/>
      <c r="C502" s="124"/>
      <c r="D502" s="34"/>
      <c r="E502" s="34"/>
    </row>
    <row r="503">
      <c r="A503" s="34"/>
      <c r="B503" s="34"/>
      <c r="C503" s="124"/>
      <c r="D503" s="34"/>
      <c r="E503" s="34"/>
    </row>
    <row r="504">
      <c r="A504" s="34"/>
      <c r="B504" s="34"/>
      <c r="C504" s="124"/>
      <c r="D504" s="34"/>
      <c r="E504" s="34"/>
    </row>
    <row r="505">
      <c r="A505" s="34"/>
      <c r="B505" s="34"/>
      <c r="C505" s="124"/>
      <c r="D505" s="34"/>
      <c r="E505" s="34"/>
    </row>
    <row r="506">
      <c r="A506" s="34"/>
      <c r="B506" s="34"/>
      <c r="C506" s="124"/>
      <c r="D506" s="34"/>
      <c r="E506" s="34"/>
    </row>
    <row r="507">
      <c r="A507" s="34"/>
      <c r="B507" s="34"/>
      <c r="C507" s="124"/>
      <c r="D507" s="34"/>
      <c r="E507" s="34"/>
    </row>
    <row r="508">
      <c r="A508" s="34"/>
      <c r="B508" s="34"/>
      <c r="C508" s="124"/>
      <c r="D508" s="34"/>
      <c r="E508" s="34"/>
    </row>
    <row r="509">
      <c r="A509" s="34"/>
      <c r="B509" s="34"/>
      <c r="C509" s="124"/>
      <c r="D509" s="34"/>
      <c r="E509" s="34"/>
    </row>
    <row r="510">
      <c r="A510" s="34"/>
      <c r="B510" s="34"/>
      <c r="C510" s="124"/>
      <c r="D510" s="34"/>
      <c r="E510" s="34"/>
    </row>
    <row r="511">
      <c r="A511" s="34"/>
      <c r="B511" s="34"/>
      <c r="C511" s="124"/>
      <c r="D511" s="34"/>
      <c r="E511" s="34"/>
    </row>
    <row r="512">
      <c r="A512" s="34"/>
      <c r="B512" s="34"/>
      <c r="C512" s="124"/>
      <c r="D512" s="34"/>
      <c r="E512" s="34"/>
    </row>
    <row r="513">
      <c r="A513" s="34"/>
      <c r="B513" s="34"/>
      <c r="C513" s="124"/>
      <c r="D513" s="34"/>
      <c r="E513" s="34"/>
    </row>
    <row r="514">
      <c r="A514" s="34"/>
      <c r="B514" s="34"/>
      <c r="C514" s="124"/>
      <c r="D514" s="34"/>
      <c r="E514" s="34"/>
    </row>
    <row r="515">
      <c r="A515" s="34"/>
      <c r="B515" s="34"/>
      <c r="C515" s="124"/>
      <c r="D515" s="34"/>
      <c r="E515" s="34"/>
    </row>
    <row r="516">
      <c r="A516" s="34"/>
      <c r="B516" s="34"/>
      <c r="C516" s="124"/>
      <c r="D516" s="34"/>
      <c r="E516" s="34"/>
    </row>
    <row r="517">
      <c r="A517" s="34"/>
      <c r="B517" s="34"/>
      <c r="C517" s="124"/>
      <c r="D517" s="34"/>
      <c r="E517" s="34"/>
    </row>
    <row r="518">
      <c r="A518" s="34"/>
      <c r="B518" s="34"/>
      <c r="C518" s="124"/>
      <c r="D518" s="34"/>
      <c r="E518" s="34"/>
    </row>
    <row r="519">
      <c r="A519" s="34"/>
      <c r="B519" s="34"/>
      <c r="C519" s="124"/>
      <c r="D519" s="34"/>
      <c r="E519" s="34"/>
    </row>
    <row r="520">
      <c r="A520" s="34"/>
      <c r="B520" s="34"/>
      <c r="C520" s="124"/>
      <c r="D520" s="34"/>
      <c r="E520" s="34"/>
    </row>
    <row r="521">
      <c r="A521" s="34"/>
      <c r="B521" s="34"/>
      <c r="C521" s="124"/>
      <c r="D521" s="34"/>
      <c r="E521" s="34"/>
    </row>
    <row r="522">
      <c r="A522" s="34"/>
      <c r="B522" s="34"/>
      <c r="C522" s="124"/>
      <c r="D522" s="34"/>
      <c r="E522" s="34"/>
    </row>
    <row r="523">
      <c r="A523" s="34"/>
      <c r="B523" s="34"/>
      <c r="C523" s="124"/>
      <c r="D523" s="34"/>
      <c r="E523" s="34"/>
    </row>
    <row r="524">
      <c r="A524" s="34"/>
      <c r="B524" s="34"/>
      <c r="C524" s="124"/>
      <c r="D524" s="34"/>
      <c r="E524" s="34"/>
    </row>
    <row r="525">
      <c r="A525" s="34"/>
      <c r="B525" s="34"/>
      <c r="C525" s="124"/>
      <c r="D525" s="34"/>
      <c r="E525" s="34"/>
    </row>
    <row r="526">
      <c r="A526" s="34"/>
      <c r="B526" s="34"/>
      <c r="C526" s="124"/>
      <c r="D526" s="34"/>
      <c r="E526" s="34"/>
    </row>
    <row r="527">
      <c r="A527" s="34"/>
      <c r="B527" s="34"/>
      <c r="C527" s="124"/>
      <c r="D527" s="34"/>
      <c r="E527" s="34"/>
    </row>
    <row r="528">
      <c r="A528" s="34"/>
      <c r="B528" s="34"/>
      <c r="C528" s="124"/>
      <c r="D528" s="34"/>
      <c r="E528" s="34"/>
    </row>
    <row r="529">
      <c r="A529" s="34"/>
      <c r="B529" s="34"/>
      <c r="C529" s="124"/>
      <c r="D529" s="34"/>
      <c r="E529" s="34"/>
    </row>
    <row r="530">
      <c r="A530" s="34"/>
      <c r="B530" s="34"/>
      <c r="C530" s="124"/>
      <c r="D530" s="34"/>
      <c r="E530" s="34"/>
    </row>
    <row r="531">
      <c r="A531" s="34"/>
      <c r="B531" s="34"/>
      <c r="C531" s="124"/>
      <c r="D531" s="34"/>
      <c r="E531" s="34"/>
    </row>
    <row r="532">
      <c r="A532" s="34"/>
      <c r="B532" s="34"/>
      <c r="C532" s="124"/>
      <c r="D532" s="34"/>
      <c r="E532" s="34"/>
    </row>
    <row r="533">
      <c r="A533" s="34"/>
      <c r="B533" s="34"/>
      <c r="C533" s="124"/>
      <c r="D533" s="34"/>
      <c r="E533" s="34"/>
    </row>
    <row r="534">
      <c r="A534" s="34"/>
      <c r="B534" s="34"/>
      <c r="C534" s="124"/>
      <c r="D534" s="34"/>
      <c r="E534" s="34"/>
    </row>
    <row r="535">
      <c r="A535" s="34"/>
      <c r="B535" s="34"/>
      <c r="C535" s="124"/>
      <c r="D535" s="34"/>
      <c r="E535" s="34"/>
    </row>
    <row r="536">
      <c r="A536" s="34"/>
      <c r="B536" s="34"/>
      <c r="C536" s="124"/>
      <c r="D536" s="34"/>
      <c r="E536" s="34"/>
    </row>
    <row r="537">
      <c r="A537" s="34"/>
      <c r="B537" s="34"/>
      <c r="C537" s="124"/>
      <c r="D537" s="34"/>
      <c r="E537" s="34"/>
    </row>
    <row r="538">
      <c r="A538" s="34"/>
      <c r="B538" s="34"/>
      <c r="C538" s="124"/>
      <c r="D538" s="34"/>
      <c r="E538" s="34"/>
    </row>
    <row r="539">
      <c r="A539" s="34"/>
      <c r="B539" s="34"/>
      <c r="C539" s="124"/>
      <c r="D539" s="34"/>
      <c r="E539" s="34"/>
    </row>
    <row r="540">
      <c r="A540" s="34"/>
      <c r="B540" s="34"/>
      <c r="C540" s="124"/>
      <c r="D540" s="34"/>
      <c r="E540" s="34"/>
    </row>
    <row r="541">
      <c r="A541" s="34"/>
      <c r="B541" s="34"/>
      <c r="C541" s="124"/>
      <c r="D541" s="34"/>
      <c r="E541" s="34"/>
    </row>
    <row r="542">
      <c r="A542" s="34"/>
      <c r="B542" s="34"/>
      <c r="C542" s="124"/>
      <c r="D542" s="34"/>
      <c r="E542" s="34"/>
    </row>
    <row r="543">
      <c r="A543" s="34"/>
      <c r="B543" s="34"/>
      <c r="C543" s="124"/>
      <c r="D543" s="34"/>
      <c r="E543" s="34"/>
    </row>
    <row r="544">
      <c r="A544" s="34"/>
      <c r="B544" s="34"/>
      <c r="C544" s="124"/>
      <c r="D544" s="34"/>
      <c r="E544" s="34"/>
    </row>
    <row r="545">
      <c r="A545" s="34"/>
      <c r="B545" s="34"/>
      <c r="C545" s="124"/>
      <c r="D545" s="34"/>
      <c r="E545" s="34"/>
    </row>
    <row r="546">
      <c r="A546" s="34"/>
      <c r="B546" s="34"/>
      <c r="C546" s="124"/>
      <c r="D546" s="34"/>
      <c r="E546" s="34"/>
    </row>
    <row r="547">
      <c r="A547" s="34"/>
      <c r="B547" s="34"/>
      <c r="C547" s="124"/>
      <c r="D547" s="34"/>
      <c r="E547" s="34"/>
    </row>
    <row r="548">
      <c r="A548" s="34"/>
      <c r="B548" s="34"/>
      <c r="C548" s="124"/>
      <c r="D548" s="34"/>
      <c r="E548" s="34"/>
    </row>
    <row r="549">
      <c r="A549" s="34"/>
      <c r="B549" s="34"/>
      <c r="C549" s="124"/>
      <c r="D549" s="34"/>
      <c r="E549" s="34"/>
    </row>
    <row r="550">
      <c r="A550" s="34"/>
      <c r="B550" s="34"/>
      <c r="C550" s="124"/>
      <c r="D550" s="34"/>
      <c r="E550" s="34"/>
    </row>
    <row r="551">
      <c r="A551" s="34"/>
      <c r="B551" s="34"/>
      <c r="C551" s="124"/>
      <c r="D551" s="34"/>
      <c r="E551" s="34"/>
    </row>
    <row r="552">
      <c r="A552" s="34"/>
      <c r="B552" s="34"/>
      <c r="C552" s="124"/>
      <c r="D552" s="34"/>
      <c r="E552" s="34"/>
    </row>
    <row r="553">
      <c r="A553" s="34"/>
      <c r="B553" s="34"/>
      <c r="C553" s="124"/>
      <c r="D553" s="34"/>
      <c r="E553" s="34"/>
    </row>
    <row r="554">
      <c r="A554" s="34"/>
      <c r="B554" s="34"/>
      <c r="C554" s="124"/>
      <c r="D554" s="34"/>
      <c r="E554" s="34"/>
    </row>
    <row r="555">
      <c r="A555" s="34"/>
      <c r="B555" s="34"/>
      <c r="C555" s="124"/>
      <c r="D555" s="34"/>
      <c r="E555" s="34"/>
    </row>
    <row r="556">
      <c r="A556" s="34"/>
      <c r="B556" s="34"/>
      <c r="C556" s="124"/>
      <c r="D556" s="34"/>
      <c r="E556" s="34"/>
    </row>
    <row r="557">
      <c r="A557" s="34"/>
      <c r="B557" s="34"/>
      <c r="C557" s="124"/>
      <c r="D557" s="34"/>
      <c r="E557" s="34"/>
    </row>
    <row r="558">
      <c r="A558" s="34"/>
      <c r="B558" s="34"/>
      <c r="C558" s="124"/>
      <c r="D558" s="34"/>
      <c r="E558" s="34"/>
    </row>
    <row r="559">
      <c r="A559" s="34"/>
      <c r="B559" s="34"/>
      <c r="C559" s="124"/>
      <c r="D559" s="34"/>
      <c r="E559" s="34"/>
    </row>
    <row r="560">
      <c r="A560" s="34"/>
      <c r="B560" s="34"/>
      <c r="C560" s="124"/>
      <c r="D560" s="34"/>
      <c r="E560" s="34"/>
    </row>
    <row r="561">
      <c r="A561" s="34"/>
      <c r="B561" s="34"/>
      <c r="C561" s="124"/>
      <c r="D561" s="34"/>
      <c r="E561" s="34"/>
    </row>
    <row r="562">
      <c r="A562" s="34"/>
      <c r="B562" s="34"/>
      <c r="C562" s="124"/>
      <c r="D562" s="34"/>
      <c r="E562" s="34"/>
    </row>
    <row r="563">
      <c r="A563" s="34"/>
      <c r="B563" s="34"/>
      <c r="C563" s="124"/>
      <c r="D563" s="34"/>
      <c r="E563" s="34"/>
    </row>
    <row r="564">
      <c r="A564" s="34"/>
      <c r="B564" s="34"/>
      <c r="C564" s="124"/>
      <c r="D564" s="34"/>
      <c r="E564" s="34"/>
    </row>
    <row r="565">
      <c r="A565" s="34"/>
      <c r="B565" s="34"/>
      <c r="C565" s="124"/>
      <c r="D565" s="34"/>
      <c r="E565" s="34"/>
    </row>
    <row r="566">
      <c r="A566" s="34"/>
      <c r="B566" s="34"/>
      <c r="C566" s="124"/>
      <c r="D566" s="34"/>
      <c r="E566" s="34"/>
    </row>
    <row r="567">
      <c r="A567" s="34"/>
      <c r="B567" s="34"/>
      <c r="C567" s="124"/>
      <c r="D567" s="34"/>
      <c r="E567" s="34"/>
    </row>
    <row r="568">
      <c r="A568" s="34"/>
      <c r="B568" s="34"/>
      <c r="C568" s="124"/>
      <c r="D568" s="34"/>
      <c r="E568" s="34"/>
    </row>
    <row r="569">
      <c r="A569" s="34"/>
      <c r="B569" s="34"/>
      <c r="C569" s="124"/>
      <c r="D569" s="34"/>
      <c r="E569" s="34"/>
    </row>
    <row r="570">
      <c r="A570" s="34"/>
      <c r="B570" s="34"/>
      <c r="C570" s="124"/>
      <c r="D570" s="34"/>
      <c r="E570" s="34"/>
    </row>
    <row r="571">
      <c r="A571" s="34"/>
      <c r="B571" s="34"/>
      <c r="C571" s="124"/>
      <c r="D571" s="34"/>
      <c r="E571" s="34"/>
    </row>
    <row r="572">
      <c r="A572" s="34"/>
      <c r="B572" s="34"/>
      <c r="C572" s="124"/>
      <c r="D572" s="34"/>
      <c r="E572" s="34"/>
    </row>
    <row r="573">
      <c r="A573" s="34"/>
      <c r="B573" s="34"/>
      <c r="C573" s="124"/>
      <c r="D573" s="34"/>
      <c r="E573" s="34"/>
    </row>
    <row r="574">
      <c r="A574" s="34"/>
      <c r="B574" s="34"/>
      <c r="C574" s="124"/>
      <c r="D574" s="34"/>
      <c r="E574" s="34"/>
    </row>
    <row r="575">
      <c r="A575" s="34"/>
      <c r="B575" s="34"/>
      <c r="C575" s="124"/>
      <c r="D575" s="34"/>
      <c r="E575" s="34"/>
    </row>
    <row r="576">
      <c r="A576" s="34"/>
      <c r="B576" s="34"/>
      <c r="C576" s="124"/>
      <c r="D576" s="34"/>
      <c r="E576" s="34"/>
    </row>
    <row r="577">
      <c r="A577" s="34"/>
      <c r="B577" s="34"/>
      <c r="C577" s="124"/>
      <c r="D577" s="34"/>
      <c r="E577" s="34"/>
    </row>
    <row r="578">
      <c r="A578" s="34"/>
      <c r="B578" s="34"/>
      <c r="C578" s="124"/>
      <c r="D578" s="34"/>
      <c r="E578" s="34"/>
    </row>
    <row r="579">
      <c r="A579" s="34"/>
      <c r="B579" s="34"/>
      <c r="C579" s="124"/>
      <c r="D579" s="34"/>
      <c r="E579" s="34"/>
    </row>
    <row r="580">
      <c r="A580" s="34"/>
      <c r="B580" s="34"/>
      <c r="C580" s="124"/>
      <c r="D580" s="34"/>
      <c r="E580" s="34"/>
    </row>
    <row r="581">
      <c r="A581" s="34"/>
      <c r="B581" s="34"/>
      <c r="C581" s="124"/>
      <c r="D581" s="34"/>
      <c r="E581" s="34"/>
    </row>
    <row r="582">
      <c r="A582" s="34"/>
      <c r="B582" s="34"/>
      <c r="C582" s="124"/>
      <c r="D582" s="34"/>
      <c r="E582" s="34"/>
    </row>
    <row r="583">
      <c r="A583" s="34"/>
      <c r="B583" s="34"/>
      <c r="C583" s="124"/>
      <c r="D583" s="34"/>
      <c r="E583" s="34"/>
    </row>
    <row r="584">
      <c r="A584" s="34"/>
      <c r="B584" s="34"/>
      <c r="C584" s="124"/>
      <c r="D584" s="34"/>
      <c r="E584" s="34"/>
    </row>
    <row r="585">
      <c r="A585" s="34"/>
      <c r="B585" s="34"/>
      <c r="C585" s="124"/>
      <c r="D585" s="34"/>
      <c r="E585" s="34"/>
    </row>
    <row r="586">
      <c r="A586" s="34"/>
      <c r="B586" s="34"/>
      <c r="C586" s="124"/>
      <c r="D586" s="34"/>
      <c r="E586" s="34"/>
    </row>
    <row r="587">
      <c r="A587" s="34"/>
      <c r="B587" s="34"/>
      <c r="C587" s="124"/>
      <c r="D587" s="34"/>
      <c r="E587" s="34"/>
    </row>
    <row r="588">
      <c r="A588" s="34"/>
      <c r="B588" s="34"/>
      <c r="C588" s="124"/>
      <c r="D588" s="34"/>
      <c r="E588" s="34"/>
    </row>
    <row r="589">
      <c r="A589" s="34"/>
      <c r="B589" s="34"/>
      <c r="C589" s="124"/>
      <c r="D589" s="34"/>
      <c r="E589" s="34"/>
    </row>
    <row r="590">
      <c r="A590" s="34"/>
      <c r="B590" s="34"/>
      <c r="C590" s="124"/>
      <c r="D590" s="34"/>
      <c r="E590" s="34"/>
    </row>
    <row r="591">
      <c r="A591" s="34"/>
      <c r="B591" s="34"/>
      <c r="C591" s="124"/>
      <c r="D591" s="34"/>
      <c r="E591" s="34"/>
    </row>
    <row r="592">
      <c r="A592" s="34"/>
      <c r="B592" s="34"/>
      <c r="C592" s="124"/>
      <c r="D592" s="34"/>
      <c r="E592" s="34"/>
    </row>
    <row r="593">
      <c r="A593" s="34"/>
      <c r="B593" s="34"/>
      <c r="C593" s="124"/>
      <c r="D593" s="34"/>
      <c r="E593" s="34"/>
    </row>
    <row r="594">
      <c r="A594" s="34"/>
      <c r="B594" s="34"/>
      <c r="C594" s="124"/>
      <c r="D594" s="34"/>
      <c r="E594" s="34"/>
    </row>
    <row r="595">
      <c r="A595" s="34"/>
      <c r="B595" s="34"/>
      <c r="C595" s="124"/>
      <c r="D595" s="34"/>
      <c r="E595" s="34"/>
    </row>
    <row r="596">
      <c r="A596" s="34"/>
      <c r="B596" s="34"/>
      <c r="C596" s="124"/>
      <c r="D596" s="34"/>
      <c r="E596" s="34"/>
    </row>
    <row r="597">
      <c r="A597" s="34"/>
      <c r="B597" s="34"/>
      <c r="C597" s="124"/>
      <c r="D597" s="34"/>
      <c r="E597" s="34"/>
    </row>
    <row r="598">
      <c r="A598" s="34"/>
      <c r="B598" s="34"/>
      <c r="C598" s="124"/>
      <c r="D598" s="34"/>
      <c r="E598" s="34"/>
    </row>
    <row r="599">
      <c r="A599" s="34"/>
      <c r="B599" s="34"/>
      <c r="C599" s="124"/>
      <c r="D599" s="34"/>
      <c r="E599" s="34"/>
    </row>
    <row r="600">
      <c r="A600" s="34"/>
      <c r="B600" s="34"/>
      <c r="C600" s="124"/>
      <c r="D600" s="34"/>
      <c r="E600" s="34"/>
    </row>
    <row r="601">
      <c r="A601" s="34"/>
      <c r="B601" s="34"/>
      <c r="C601" s="124"/>
      <c r="D601" s="34"/>
      <c r="E601" s="34"/>
    </row>
    <row r="602">
      <c r="A602" s="34"/>
      <c r="B602" s="34"/>
      <c r="C602" s="124"/>
      <c r="D602" s="34"/>
      <c r="E602" s="34"/>
    </row>
    <row r="603">
      <c r="A603" s="34"/>
      <c r="B603" s="34"/>
      <c r="C603" s="124"/>
      <c r="D603" s="34"/>
      <c r="E603" s="34"/>
    </row>
    <row r="604">
      <c r="A604" s="34"/>
      <c r="B604" s="34"/>
      <c r="C604" s="124"/>
      <c r="D604" s="34"/>
      <c r="E604" s="34"/>
    </row>
    <row r="605">
      <c r="A605" s="34"/>
      <c r="B605" s="34"/>
      <c r="C605" s="124"/>
      <c r="D605" s="34"/>
      <c r="E605" s="34"/>
    </row>
    <row r="606">
      <c r="A606" s="34"/>
      <c r="B606" s="34"/>
      <c r="C606" s="124"/>
      <c r="D606" s="34"/>
      <c r="E606" s="34"/>
    </row>
    <row r="607">
      <c r="A607" s="34"/>
      <c r="B607" s="34"/>
      <c r="C607" s="124"/>
      <c r="D607" s="34"/>
      <c r="E607" s="34"/>
    </row>
    <row r="608">
      <c r="A608" s="34"/>
      <c r="B608" s="34"/>
      <c r="C608" s="124"/>
      <c r="D608" s="34"/>
      <c r="E608" s="34"/>
    </row>
    <row r="609">
      <c r="A609" s="34"/>
      <c r="B609" s="34"/>
      <c r="C609" s="124"/>
      <c r="D609" s="34"/>
      <c r="E609" s="34"/>
    </row>
    <row r="610">
      <c r="A610" s="34"/>
      <c r="B610" s="34"/>
      <c r="C610" s="124"/>
      <c r="D610" s="34"/>
      <c r="E610" s="34"/>
    </row>
    <row r="611">
      <c r="A611" s="34"/>
      <c r="B611" s="34"/>
      <c r="C611" s="124"/>
      <c r="D611" s="34"/>
      <c r="E611" s="34"/>
    </row>
    <row r="612">
      <c r="A612" s="34"/>
      <c r="B612" s="34"/>
      <c r="C612" s="124"/>
      <c r="D612" s="34"/>
      <c r="E612" s="34"/>
    </row>
    <row r="613">
      <c r="A613" s="34"/>
      <c r="B613" s="34"/>
      <c r="C613" s="124"/>
      <c r="D613" s="34"/>
      <c r="E613" s="34"/>
    </row>
    <row r="614">
      <c r="A614" s="34"/>
      <c r="B614" s="34"/>
      <c r="C614" s="124"/>
      <c r="D614" s="34"/>
      <c r="E614" s="34"/>
    </row>
    <row r="615">
      <c r="A615" s="34"/>
      <c r="B615" s="34"/>
      <c r="C615" s="124"/>
      <c r="D615" s="34"/>
      <c r="E615" s="34"/>
    </row>
    <row r="616">
      <c r="A616" s="34"/>
      <c r="B616" s="34"/>
      <c r="C616" s="124"/>
      <c r="D616" s="34"/>
      <c r="E616" s="34"/>
    </row>
    <row r="617">
      <c r="A617" s="34"/>
      <c r="B617" s="34"/>
      <c r="C617" s="124"/>
      <c r="D617" s="34"/>
      <c r="E617" s="34"/>
    </row>
    <row r="618">
      <c r="A618" s="34"/>
      <c r="B618" s="34"/>
      <c r="C618" s="124"/>
      <c r="D618" s="34"/>
      <c r="E618" s="34"/>
    </row>
    <row r="619">
      <c r="A619" s="34"/>
      <c r="B619" s="34"/>
      <c r="C619" s="124"/>
      <c r="D619" s="34"/>
      <c r="E619" s="34"/>
    </row>
    <row r="620">
      <c r="A620" s="34"/>
      <c r="B620" s="34"/>
      <c r="C620" s="124"/>
      <c r="D620" s="34"/>
      <c r="E620" s="34"/>
    </row>
    <row r="621">
      <c r="A621" s="34"/>
      <c r="B621" s="34"/>
      <c r="C621" s="124"/>
      <c r="D621" s="34"/>
      <c r="E621" s="34"/>
    </row>
    <row r="622">
      <c r="A622" s="34"/>
      <c r="B622" s="34"/>
      <c r="C622" s="124"/>
      <c r="D622" s="34"/>
      <c r="E622" s="34"/>
    </row>
    <row r="623">
      <c r="A623" s="34"/>
      <c r="B623" s="34"/>
      <c r="C623" s="124"/>
      <c r="D623" s="34"/>
      <c r="E623" s="34"/>
    </row>
    <row r="624">
      <c r="A624" s="34"/>
      <c r="B624" s="34"/>
      <c r="C624" s="124"/>
      <c r="D624" s="34"/>
      <c r="E624" s="34"/>
    </row>
    <row r="625">
      <c r="A625" s="34"/>
      <c r="B625" s="34"/>
      <c r="C625" s="124"/>
      <c r="D625" s="34"/>
      <c r="E625" s="34"/>
    </row>
    <row r="626">
      <c r="A626" s="34"/>
      <c r="B626" s="34"/>
      <c r="C626" s="124"/>
      <c r="D626" s="34"/>
      <c r="E626" s="34"/>
    </row>
    <row r="627">
      <c r="A627" s="34"/>
      <c r="B627" s="34"/>
      <c r="C627" s="124"/>
      <c r="D627" s="34"/>
      <c r="E627" s="34"/>
    </row>
    <row r="628">
      <c r="A628" s="34"/>
      <c r="B628" s="34"/>
      <c r="C628" s="124"/>
      <c r="D628" s="34"/>
      <c r="E628" s="34"/>
    </row>
    <row r="629">
      <c r="A629" s="34"/>
      <c r="B629" s="34"/>
      <c r="C629" s="124"/>
      <c r="D629" s="34"/>
      <c r="E629" s="34"/>
    </row>
    <row r="630">
      <c r="A630" s="34"/>
      <c r="B630" s="34"/>
      <c r="C630" s="124"/>
      <c r="D630" s="34"/>
      <c r="E630" s="34"/>
    </row>
    <row r="631">
      <c r="A631" s="34"/>
      <c r="B631" s="34"/>
      <c r="C631" s="124"/>
      <c r="D631" s="34"/>
      <c r="E631" s="34"/>
    </row>
    <row r="632">
      <c r="A632" s="34"/>
      <c r="B632" s="34"/>
      <c r="C632" s="124"/>
      <c r="D632" s="34"/>
      <c r="E632" s="34"/>
    </row>
    <row r="633">
      <c r="A633" s="34"/>
      <c r="B633" s="34"/>
      <c r="C633" s="124"/>
      <c r="D633" s="34"/>
      <c r="E633" s="34"/>
    </row>
    <row r="634">
      <c r="A634" s="34"/>
      <c r="B634" s="34"/>
      <c r="C634" s="124"/>
      <c r="D634" s="34"/>
      <c r="E634" s="34"/>
    </row>
    <row r="635">
      <c r="A635" s="34"/>
      <c r="B635" s="34"/>
      <c r="C635" s="124"/>
      <c r="D635" s="34"/>
      <c r="E635" s="34"/>
    </row>
    <row r="636">
      <c r="A636" s="34"/>
      <c r="B636" s="34"/>
      <c r="C636" s="124"/>
      <c r="D636" s="34"/>
      <c r="E636" s="34"/>
    </row>
    <row r="637">
      <c r="A637" s="34"/>
      <c r="B637" s="34"/>
      <c r="C637" s="124"/>
      <c r="D637" s="34"/>
      <c r="E637" s="34"/>
    </row>
    <row r="638">
      <c r="A638" s="34"/>
      <c r="B638" s="34"/>
      <c r="C638" s="124"/>
      <c r="D638" s="34"/>
      <c r="E638" s="34"/>
    </row>
    <row r="639">
      <c r="A639" s="34"/>
      <c r="B639" s="34"/>
      <c r="C639" s="124"/>
      <c r="D639" s="34"/>
      <c r="E639" s="34"/>
    </row>
    <row r="640">
      <c r="A640" s="34"/>
      <c r="B640" s="34"/>
      <c r="C640" s="124"/>
      <c r="D640" s="34"/>
      <c r="E640" s="34"/>
    </row>
    <row r="641">
      <c r="A641" s="34"/>
      <c r="B641" s="34"/>
      <c r="C641" s="124"/>
      <c r="D641" s="34"/>
      <c r="E641" s="34"/>
    </row>
    <row r="642">
      <c r="A642" s="34"/>
      <c r="B642" s="34"/>
      <c r="C642" s="124"/>
      <c r="D642" s="34"/>
      <c r="E642" s="34"/>
    </row>
    <row r="643">
      <c r="A643" s="34"/>
      <c r="B643" s="34"/>
      <c r="C643" s="124"/>
      <c r="D643" s="34"/>
      <c r="E643" s="34"/>
    </row>
    <row r="644">
      <c r="A644" s="34"/>
      <c r="B644" s="34"/>
      <c r="C644" s="124"/>
      <c r="D644" s="34"/>
      <c r="E644" s="34"/>
    </row>
    <row r="645">
      <c r="A645" s="34"/>
      <c r="B645" s="34"/>
      <c r="C645" s="124"/>
      <c r="D645" s="34"/>
      <c r="E645" s="34"/>
    </row>
    <row r="646">
      <c r="A646" s="34"/>
      <c r="B646" s="34"/>
      <c r="C646" s="124"/>
      <c r="D646" s="34"/>
      <c r="E646" s="34"/>
    </row>
    <row r="647">
      <c r="A647" s="34"/>
      <c r="B647" s="34"/>
      <c r="C647" s="124"/>
      <c r="D647" s="34"/>
      <c r="E647" s="34"/>
    </row>
    <row r="648">
      <c r="A648" s="34"/>
      <c r="B648" s="34"/>
      <c r="C648" s="124"/>
      <c r="D648" s="34"/>
      <c r="E648" s="34"/>
    </row>
    <row r="649">
      <c r="A649" s="34"/>
      <c r="B649" s="34"/>
      <c r="C649" s="124"/>
      <c r="D649" s="34"/>
      <c r="E649" s="34"/>
    </row>
    <row r="650">
      <c r="A650" s="34"/>
      <c r="B650" s="34"/>
      <c r="C650" s="124"/>
      <c r="D650" s="34"/>
      <c r="E650" s="34"/>
    </row>
    <row r="651">
      <c r="A651" s="34"/>
      <c r="B651" s="34"/>
      <c r="C651" s="124"/>
      <c r="D651" s="34"/>
      <c r="E651" s="34"/>
    </row>
    <row r="652">
      <c r="A652" s="34"/>
      <c r="B652" s="34"/>
      <c r="C652" s="124"/>
      <c r="D652" s="34"/>
      <c r="E652" s="34"/>
    </row>
    <row r="653">
      <c r="A653" s="34"/>
      <c r="B653" s="34"/>
      <c r="C653" s="124"/>
      <c r="D653" s="34"/>
      <c r="E653" s="34"/>
    </row>
    <row r="654">
      <c r="A654" s="34"/>
      <c r="B654" s="34"/>
      <c r="C654" s="124"/>
      <c r="D654" s="34"/>
      <c r="E654" s="34"/>
    </row>
    <row r="655">
      <c r="A655" s="34"/>
      <c r="B655" s="34"/>
      <c r="C655" s="124"/>
      <c r="D655" s="34"/>
      <c r="E655" s="34"/>
    </row>
    <row r="656">
      <c r="A656" s="34"/>
      <c r="B656" s="34"/>
      <c r="C656" s="124"/>
      <c r="D656" s="34"/>
      <c r="E656" s="34"/>
    </row>
    <row r="657">
      <c r="A657" s="34"/>
      <c r="B657" s="34"/>
      <c r="C657" s="124"/>
      <c r="D657" s="34"/>
      <c r="E657" s="34"/>
    </row>
    <row r="658">
      <c r="A658" s="34"/>
      <c r="B658" s="34"/>
      <c r="C658" s="124"/>
      <c r="D658" s="34"/>
      <c r="E658" s="34"/>
    </row>
    <row r="659">
      <c r="A659" s="34"/>
      <c r="B659" s="34"/>
      <c r="C659" s="124"/>
      <c r="D659" s="34"/>
      <c r="E659" s="34"/>
    </row>
    <row r="660">
      <c r="A660" s="34"/>
      <c r="B660" s="34"/>
      <c r="C660" s="124"/>
      <c r="D660" s="34"/>
      <c r="E660" s="34"/>
    </row>
    <row r="661">
      <c r="A661" s="34"/>
      <c r="B661" s="34"/>
      <c r="C661" s="124"/>
      <c r="D661" s="34"/>
      <c r="E661" s="34"/>
    </row>
    <row r="662">
      <c r="A662" s="34"/>
      <c r="B662" s="34"/>
      <c r="C662" s="124"/>
      <c r="D662" s="34"/>
      <c r="E662" s="34"/>
    </row>
    <row r="663">
      <c r="A663" s="34"/>
      <c r="B663" s="34"/>
      <c r="C663" s="124"/>
      <c r="D663" s="34"/>
      <c r="E663" s="34"/>
    </row>
    <row r="664">
      <c r="A664" s="34"/>
      <c r="B664" s="34"/>
      <c r="C664" s="124"/>
      <c r="D664" s="34"/>
      <c r="E664" s="34"/>
    </row>
    <row r="665">
      <c r="A665" s="34"/>
      <c r="B665" s="34"/>
      <c r="C665" s="124"/>
      <c r="D665" s="34"/>
      <c r="E665" s="34"/>
    </row>
    <row r="666">
      <c r="A666" s="34"/>
      <c r="B666" s="34"/>
      <c r="C666" s="124"/>
      <c r="D666" s="34"/>
      <c r="E666" s="34"/>
    </row>
    <row r="667">
      <c r="A667" s="34"/>
      <c r="B667" s="34"/>
      <c r="C667" s="124"/>
      <c r="D667" s="34"/>
      <c r="E667" s="34"/>
    </row>
    <row r="668">
      <c r="A668" s="34"/>
      <c r="B668" s="34"/>
      <c r="C668" s="124"/>
      <c r="D668" s="34"/>
      <c r="E668" s="34"/>
    </row>
    <row r="669">
      <c r="A669" s="34"/>
      <c r="B669" s="34"/>
      <c r="C669" s="124"/>
      <c r="D669" s="34"/>
      <c r="E669" s="34"/>
    </row>
    <row r="670">
      <c r="A670" s="34"/>
      <c r="B670" s="34"/>
      <c r="C670" s="124"/>
      <c r="D670" s="34"/>
      <c r="E670" s="34"/>
    </row>
    <row r="671">
      <c r="A671" s="34"/>
      <c r="B671" s="34"/>
      <c r="C671" s="124"/>
      <c r="D671" s="34"/>
      <c r="E671" s="34"/>
    </row>
    <row r="672">
      <c r="A672" s="34"/>
      <c r="B672" s="34"/>
      <c r="C672" s="124"/>
      <c r="D672" s="34"/>
      <c r="E672" s="34"/>
    </row>
    <row r="673">
      <c r="A673" s="34"/>
      <c r="B673" s="34"/>
      <c r="C673" s="124"/>
      <c r="D673" s="34"/>
      <c r="E673" s="34"/>
    </row>
    <row r="674">
      <c r="A674" s="34"/>
      <c r="B674" s="34"/>
      <c r="C674" s="124"/>
      <c r="D674" s="34"/>
      <c r="E674" s="34"/>
    </row>
    <row r="675">
      <c r="A675" s="34"/>
      <c r="B675" s="34"/>
      <c r="C675" s="124"/>
      <c r="D675" s="34"/>
      <c r="E675" s="34"/>
    </row>
    <row r="676">
      <c r="A676" s="34"/>
      <c r="B676" s="34"/>
      <c r="C676" s="124"/>
      <c r="D676" s="34"/>
      <c r="E676" s="34"/>
    </row>
    <row r="677">
      <c r="A677" s="34"/>
      <c r="B677" s="34"/>
      <c r="C677" s="124"/>
      <c r="D677" s="34"/>
      <c r="E677" s="34"/>
    </row>
    <row r="678">
      <c r="A678" s="34"/>
      <c r="B678" s="34"/>
      <c r="C678" s="124"/>
      <c r="D678" s="34"/>
      <c r="E678" s="34"/>
    </row>
    <row r="679">
      <c r="A679" s="34"/>
      <c r="B679" s="34"/>
      <c r="C679" s="124"/>
      <c r="D679" s="34"/>
      <c r="E679" s="34"/>
    </row>
    <row r="680">
      <c r="A680" s="34"/>
      <c r="B680" s="34"/>
      <c r="C680" s="124"/>
      <c r="D680" s="34"/>
      <c r="E680" s="34"/>
    </row>
    <row r="681">
      <c r="A681" s="34"/>
      <c r="B681" s="34"/>
      <c r="C681" s="124"/>
      <c r="D681" s="34"/>
      <c r="E681" s="34"/>
    </row>
    <row r="682">
      <c r="A682" s="34"/>
      <c r="B682" s="34"/>
      <c r="C682" s="124"/>
      <c r="D682" s="34"/>
      <c r="E682" s="34"/>
    </row>
    <row r="683">
      <c r="A683" s="34"/>
      <c r="B683" s="34"/>
      <c r="C683" s="124"/>
      <c r="D683" s="34"/>
      <c r="E683" s="34"/>
    </row>
    <row r="684">
      <c r="A684" s="34"/>
      <c r="B684" s="34"/>
      <c r="C684" s="124"/>
      <c r="D684" s="34"/>
      <c r="E684" s="34"/>
    </row>
    <row r="685">
      <c r="A685" s="34"/>
      <c r="B685" s="34"/>
      <c r="C685" s="124"/>
      <c r="D685" s="34"/>
      <c r="E685" s="34"/>
    </row>
    <row r="686">
      <c r="A686" s="34"/>
      <c r="B686" s="34"/>
      <c r="C686" s="124"/>
      <c r="D686" s="34"/>
      <c r="E686" s="34"/>
    </row>
    <row r="687">
      <c r="A687" s="34"/>
      <c r="B687" s="34"/>
      <c r="C687" s="124"/>
      <c r="D687" s="34"/>
      <c r="E687" s="34"/>
    </row>
    <row r="688">
      <c r="A688" s="34"/>
      <c r="B688" s="34"/>
      <c r="C688" s="124"/>
      <c r="D688" s="34"/>
      <c r="E688" s="34"/>
    </row>
    <row r="689">
      <c r="A689" s="34"/>
      <c r="B689" s="34"/>
      <c r="C689" s="124"/>
      <c r="D689" s="34"/>
      <c r="E689" s="34"/>
    </row>
    <row r="690">
      <c r="A690" s="34"/>
      <c r="B690" s="34"/>
      <c r="C690" s="124"/>
      <c r="D690" s="34"/>
      <c r="E690" s="34"/>
    </row>
    <row r="691">
      <c r="A691" s="34"/>
      <c r="B691" s="34"/>
      <c r="C691" s="124"/>
      <c r="D691" s="34"/>
      <c r="E691" s="34"/>
    </row>
    <row r="692">
      <c r="A692" s="34"/>
      <c r="B692" s="34"/>
      <c r="C692" s="124"/>
      <c r="D692" s="34"/>
      <c r="E692" s="34"/>
    </row>
    <row r="693">
      <c r="A693" s="34"/>
      <c r="B693" s="34"/>
      <c r="C693" s="124"/>
      <c r="D693" s="34"/>
      <c r="E693" s="34"/>
    </row>
    <row r="694">
      <c r="A694" s="34"/>
      <c r="B694" s="34"/>
      <c r="C694" s="124"/>
      <c r="D694" s="34"/>
      <c r="E694" s="34"/>
    </row>
    <row r="695">
      <c r="A695" s="34"/>
      <c r="B695" s="34"/>
      <c r="C695" s="124"/>
      <c r="D695" s="34"/>
      <c r="E695" s="34"/>
    </row>
    <row r="696">
      <c r="A696" s="34"/>
      <c r="B696" s="34"/>
      <c r="C696" s="124"/>
      <c r="D696" s="34"/>
      <c r="E696" s="34"/>
    </row>
    <row r="697">
      <c r="A697" s="34"/>
      <c r="B697" s="34"/>
      <c r="C697" s="124"/>
      <c r="D697" s="34"/>
      <c r="E697" s="34"/>
    </row>
    <row r="698">
      <c r="A698" s="34"/>
      <c r="B698" s="34"/>
      <c r="C698" s="124"/>
      <c r="D698" s="34"/>
      <c r="E698" s="34"/>
    </row>
    <row r="699">
      <c r="A699" s="34"/>
      <c r="B699" s="34"/>
      <c r="C699" s="124"/>
      <c r="D699" s="34"/>
      <c r="E699" s="34"/>
    </row>
    <row r="700">
      <c r="A700" s="34"/>
      <c r="B700" s="34"/>
      <c r="C700" s="124"/>
      <c r="D700" s="34"/>
      <c r="E700" s="34"/>
    </row>
    <row r="701">
      <c r="A701" s="34"/>
      <c r="B701" s="34"/>
      <c r="C701" s="124"/>
      <c r="D701" s="34"/>
      <c r="E701" s="34"/>
    </row>
    <row r="702">
      <c r="A702" s="34"/>
      <c r="B702" s="34"/>
      <c r="C702" s="124"/>
      <c r="D702" s="34"/>
      <c r="E702" s="34"/>
    </row>
    <row r="703">
      <c r="A703" s="34"/>
      <c r="B703" s="34"/>
      <c r="C703" s="124"/>
      <c r="D703" s="34"/>
      <c r="E703" s="34"/>
    </row>
    <row r="704">
      <c r="A704" s="34"/>
      <c r="B704" s="34"/>
      <c r="C704" s="124"/>
      <c r="D704" s="34"/>
      <c r="E704" s="34"/>
    </row>
    <row r="705">
      <c r="A705" s="34"/>
      <c r="B705" s="34"/>
      <c r="C705" s="124"/>
      <c r="D705" s="34"/>
      <c r="E705" s="34"/>
    </row>
    <row r="706">
      <c r="A706" s="34"/>
      <c r="B706" s="34"/>
      <c r="C706" s="124"/>
      <c r="D706" s="34"/>
      <c r="E706" s="34"/>
    </row>
    <row r="707">
      <c r="A707" s="34"/>
      <c r="B707" s="34"/>
      <c r="C707" s="124"/>
      <c r="D707" s="34"/>
      <c r="E707" s="34"/>
    </row>
    <row r="708">
      <c r="A708" s="34"/>
      <c r="B708" s="34"/>
      <c r="C708" s="124"/>
      <c r="D708" s="34"/>
      <c r="E708" s="34"/>
    </row>
    <row r="709">
      <c r="A709" s="34"/>
      <c r="B709" s="34"/>
      <c r="C709" s="124"/>
      <c r="D709" s="34"/>
      <c r="E709" s="34"/>
    </row>
    <row r="710">
      <c r="A710" s="34"/>
      <c r="B710" s="34"/>
      <c r="C710" s="124"/>
      <c r="D710" s="34"/>
      <c r="E710" s="34"/>
    </row>
    <row r="711">
      <c r="A711" s="34"/>
      <c r="B711" s="34"/>
      <c r="C711" s="124"/>
      <c r="D711" s="34"/>
      <c r="E711" s="34"/>
    </row>
    <row r="712">
      <c r="A712" s="34"/>
      <c r="B712" s="34"/>
      <c r="C712" s="124"/>
      <c r="D712" s="34"/>
      <c r="E712" s="34"/>
    </row>
    <row r="713">
      <c r="A713" s="34"/>
      <c r="B713" s="34"/>
      <c r="C713" s="124"/>
      <c r="D713" s="34"/>
      <c r="E713" s="34"/>
    </row>
    <row r="714">
      <c r="A714" s="34"/>
      <c r="B714" s="34"/>
      <c r="C714" s="124"/>
      <c r="D714" s="34"/>
      <c r="E714" s="34"/>
    </row>
    <row r="715">
      <c r="A715" s="34"/>
      <c r="B715" s="34"/>
      <c r="C715" s="124"/>
      <c r="D715" s="34"/>
      <c r="E715" s="34"/>
    </row>
    <row r="716">
      <c r="A716" s="34"/>
      <c r="B716" s="34"/>
      <c r="C716" s="124"/>
      <c r="D716" s="34"/>
      <c r="E716" s="34"/>
    </row>
    <row r="717">
      <c r="A717" s="34"/>
      <c r="B717" s="34"/>
      <c r="C717" s="124"/>
      <c r="D717" s="34"/>
      <c r="E717" s="34"/>
    </row>
    <row r="718">
      <c r="A718" s="34"/>
      <c r="B718" s="34"/>
      <c r="C718" s="124"/>
      <c r="D718" s="34"/>
      <c r="E718" s="34"/>
    </row>
    <row r="719">
      <c r="A719" s="34"/>
      <c r="B719" s="34"/>
      <c r="C719" s="124"/>
      <c r="D719" s="34"/>
      <c r="E719" s="34"/>
    </row>
    <row r="720">
      <c r="A720" s="34"/>
      <c r="B720" s="34"/>
      <c r="C720" s="124"/>
      <c r="D720" s="34"/>
      <c r="E720" s="34"/>
    </row>
    <row r="721">
      <c r="A721" s="34"/>
      <c r="B721" s="34"/>
      <c r="C721" s="124"/>
      <c r="D721" s="34"/>
      <c r="E721" s="34"/>
    </row>
    <row r="722">
      <c r="A722" s="34"/>
      <c r="B722" s="34"/>
      <c r="C722" s="124"/>
      <c r="D722" s="34"/>
      <c r="E722" s="34"/>
    </row>
    <row r="723">
      <c r="A723" s="34"/>
      <c r="B723" s="34"/>
      <c r="C723" s="124"/>
      <c r="D723" s="34"/>
      <c r="E723" s="34"/>
    </row>
    <row r="724">
      <c r="A724" s="34"/>
      <c r="B724" s="34"/>
      <c r="C724" s="124"/>
      <c r="D724" s="34"/>
      <c r="E724" s="34"/>
    </row>
    <row r="725">
      <c r="A725" s="34"/>
      <c r="B725" s="34"/>
      <c r="C725" s="124"/>
      <c r="D725" s="34"/>
      <c r="E725" s="34"/>
    </row>
    <row r="726">
      <c r="A726" s="34"/>
      <c r="B726" s="34"/>
      <c r="C726" s="124"/>
      <c r="D726" s="34"/>
      <c r="E726" s="34"/>
    </row>
    <row r="727">
      <c r="A727" s="34"/>
      <c r="B727" s="34"/>
      <c r="C727" s="124"/>
      <c r="D727" s="34"/>
      <c r="E727" s="34"/>
    </row>
    <row r="728">
      <c r="A728" s="34"/>
      <c r="B728" s="34"/>
      <c r="C728" s="124"/>
      <c r="D728" s="34"/>
      <c r="E728" s="34"/>
    </row>
    <row r="729">
      <c r="A729" s="34"/>
      <c r="B729" s="34"/>
      <c r="C729" s="124"/>
      <c r="D729" s="34"/>
      <c r="E729" s="34"/>
    </row>
    <row r="730">
      <c r="A730" s="34"/>
      <c r="B730" s="34"/>
      <c r="C730" s="124"/>
      <c r="D730" s="34"/>
      <c r="E730" s="34"/>
    </row>
    <row r="731">
      <c r="A731" s="34"/>
      <c r="B731" s="34"/>
      <c r="C731" s="124"/>
      <c r="D731" s="34"/>
      <c r="E731" s="34"/>
    </row>
    <row r="732">
      <c r="A732" s="34"/>
      <c r="B732" s="34"/>
      <c r="C732" s="124"/>
      <c r="D732" s="34"/>
      <c r="E732" s="34"/>
    </row>
    <row r="733">
      <c r="A733" s="34"/>
      <c r="B733" s="34"/>
      <c r="C733" s="124"/>
      <c r="D733" s="34"/>
      <c r="E733" s="34"/>
    </row>
    <row r="734">
      <c r="A734" s="34"/>
      <c r="B734" s="34"/>
      <c r="C734" s="124"/>
      <c r="D734" s="34"/>
      <c r="E734" s="34"/>
    </row>
    <row r="735">
      <c r="A735" s="34"/>
      <c r="B735" s="34"/>
      <c r="C735" s="124"/>
      <c r="D735" s="34"/>
      <c r="E735" s="34"/>
    </row>
    <row r="736">
      <c r="A736" s="34"/>
      <c r="B736" s="34"/>
      <c r="C736" s="124"/>
      <c r="D736" s="34"/>
      <c r="E736" s="34"/>
    </row>
    <row r="737">
      <c r="A737" s="34"/>
      <c r="B737" s="34"/>
      <c r="C737" s="124"/>
      <c r="D737" s="34"/>
      <c r="E737" s="34"/>
    </row>
    <row r="738">
      <c r="A738" s="34"/>
      <c r="B738" s="34"/>
      <c r="C738" s="124"/>
      <c r="D738" s="34"/>
      <c r="E738" s="34"/>
    </row>
    <row r="739">
      <c r="A739" s="34"/>
      <c r="B739" s="34"/>
      <c r="C739" s="124"/>
      <c r="D739" s="34"/>
      <c r="E739" s="34"/>
    </row>
    <row r="740">
      <c r="A740" s="34"/>
      <c r="B740" s="34"/>
      <c r="C740" s="124"/>
      <c r="D740" s="34"/>
      <c r="E740" s="34"/>
    </row>
    <row r="741">
      <c r="A741" s="34"/>
      <c r="B741" s="34"/>
      <c r="C741" s="124"/>
      <c r="D741" s="34"/>
      <c r="E741" s="34"/>
    </row>
    <row r="742">
      <c r="A742" s="34"/>
      <c r="B742" s="34"/>
      <c r="C742" s="124"/>
      <c r="D742" s="34"/>
      <c r="E742" s="34"/>
    </row>
    <row r="743">
      <c r="A743" s="34"/>
      <c r="B743" s="34"/>
      <c r="C743" s="124"/>
      <c r="D743" s="34"/>
      <c r="E743" s="34"/>
    </row>
    <row r="744">
      <c r="A744" s="34"/>
      <c r="B744" s="34"/>
      <c r="C744" s="124"/>
      <c r="D744" s="34"/>
      <c r="E744" s="34"/>
    </row>
    <row r="745">
      <c r="A745" s="34"/>
      <c r="B745" s="34"/>
      <c r="C745" s="124"/>
      <c r="D745" s="34"/>
      <c r="E745" s="34"/>
    </row>
    <row r="746">
      <c r="A746" s="34"/>
      <c r="B746" s="34"/>
      <c r="C746" s="124"/>
      <c r="D746" s="34"/>
      <c r="E746" s="34"/>
    </row>
    <row r="747">
      <c r="A747" s="34"/>
      <c r="B747" s="34"/>
      <c r="C747" s="124"/>
      <c r="D747" s="34"/>
      <c r="E747" s="34"/>
    </row>
    <row r="748">
      <c r="A748" s="34"/>
      <c r="B748" s="34"/>
      <c r="C748" s="124"/>
      <c r="D748" s="34"/>
      <c r="E748" s="34"/>
    </row>
    <row r="749">
      <c r="A749" s="34"/>
      <c r="B749" s="34"/>
      <c r="C749" s="124"/>
      <c r="D749" s="34"/>
      <c r="E749" s="34"/>
    </row>
    <row r="750">
      <c r="A750" s="34"/>
      <c r="B750" s="34"/>
      <c r="C750" s="124"/>
      <c r="D750" s="34"/>
      <c r="E750" s="34"/>
    </row>
    <row r="751">
      <c r="A751" s="34"/>
      <c r="B751" s="34"/>
      <c r="C751" s="124"/>
      <c r="D751" s="34"/>
      <c r="E751" s="34"/>
    </row>
    <row r="752">
      <c r="A752" s="34"/>
      <c r="B752" s="34"/>
      <c r="C752" s="124"/>
      <c r="D752" s="34"/>
      <c r="E752" s="34"/>
    </row>
    <row r="753">
      <c r="A753" s="34"/>
      <c r="B753" s="34"/>
      <c r="C753" s="124"/>
      <c r="D753" s="34"/>
      <c r="E753" s="34"/>
    </row>
    <row r="754">
      <c r="A754" s="34"/>
      <c r="B754" s="34"/>
      <c r="C754" s="124"/>
      <c r="D754" s="34"/>
      <c r="E754" s="34"/>
    </row>
    <row r="755">
      <c r="A755" s="34"/>
      <c r="B755" s="34"/>
      <c r="C755" s="124"/>
      <c r="D755" s="34"/>
      <c r="E755" s="34"/>
    </row>
    <row r="756">
      <c r="A756" s="34"/>
      <c r="B756" s="34"/>
      <c r="C756" s="124"/>
      <c r="D756" s="34"/>
      <c r="E756" s="34"/>
    </row>
    <row r="757">
      <c r="A757" s="34"/>
      <c r="B757" s="34"/>
      <c r="C757" s="124"/>
      <c r="D757" s="34"/>
      <c r="E757" s="34"/>
    </row>
    <row r="758">
      <c r="A758" s="34"/>
      <c r="B758" s="34"/>
      <c r="C758" s="124"/>
      <c r="D758" s="34"/>
      <c r="E758" s="34"/>
    </row>
    <row r="759">
      <c r="A759" s="34"/>
      <c r="B759" s="34"/>
      <c r="C759" s="124"/>
      <c r="D759" s="34"/>
      <c r="E759" s="34"/>
    </row>
    <row r="760">
      <c r="A760" s="34"/>
      <c r="B760" s="34"/>
      <c r="C760" s="124"/>
      <c r="D760" s="34"/>
      <c r="E760" s="34"/>
    </row>
    <row r="761">
      <c r="A761" s="34"/>
      <c r="B761" s="34"/>
      <c r="C761" s="124"/>
      <c r="D761" s="34"/>
      <c r="E761" s="34"/>
    </row>
    <row r="762">
      <c r="A762" s="34"/>
      <c r="B762" s="34"/>
      <c r="C762" s="124"/>
      <c r="D762" s="34"/>
      <c r="E762" s="34"/>
    </row>
    <row r="763">
      <c r="A763" s="34"/>
      <c r="B763" s="34"/>
      <c r="C763" s="124"/>
      <c r="D763" s="34"/>
      <c r="E763" s="34"/>
    </row>
    <row r="764">
      <c r="A764" s="34"/>
      <c r="B764" s="34"/>
      <c r="C764" s="124"/>
      <c r="D764" s="34"/>
      <c r="E764" s="34"/>
    </row>
    <row r="765">
      <c r="A765" s="34"/>
      <c r="B765" s="34"/>
      <c r="C765" s="124"/>
      <c r="D765" s="34"/>
      <c r="E765" s="34"/>
    </row>
    <row r="766">
      <c r="A766" s="34"/>
      <c r="B766" s="34"/>
      <c r="C766" s="124"/>
      <c r="D766" s="34"/>
      <c r="E766" s="34"/>
    </row>
    <row r="767">
      <c r="A767" s="34"/>
      <c r="B767" s="34"/>
      <c r="C767" s="124"/>
      <c r="D767" s="34"/>
      <c r="E767" s="34"/>
    </row>
    <row r="768">
      <c r="A768" s="34"/>
      <c r="B768" s="34"/>
      <c r="C768" s="124"/>
      <c r="D768" s="34"/>
      <c r="E768" s="34"/>
    </row>
    <row r="769">
      <c r="A769" s="34"/>
      <c r="B769" s="34"/>
      <c r="C769" s="124"/>
      <c r="D769" s="34"/>
      <c r="E769" s="34"/>
    </row>
    <row r="770">
      <c r="A770" s="34"/>
      <c r="B770" s="34"/>
      <c r="C770" s="124"/>
      <c r="D770" s="34"/>
      <c r="E770" s="34"/>
    </row>
    <row r="771">
      <c r="A771" s="34"/>
      <c r="B771" s="34"/>
      <c r="C771" s="124"/>
      <c r="D771" s="34"/>
      <c r="E771" s="34"/>
    </row>
    <row r="772">
      <c r="A772" s="34"/>
      <c r="B772" s="34"/>
      <c r="C772" s="124"/>
      <c r="D772" s="34"/>
      <c r="E772" s="34"/>
    </row>
    <row r="773">
      <c r="A773" s="34"/>
      <c r="B773" s="34"/>
      <c r="C773" s="124"/>
      <c r="D773" s="34"/>
      <c r="E773" s="34"/>
    </row>
    <row r="774">
      <c r="A774" s="34"/>
      <c r="B774" s="34"/>
      <c r="C774" s="124"/>
      <c r="D774" s="34"/>
      <c r="E774" s="34"/>
    </row>
    <row r="775">
      <c r="A775" s="34"/>
      <c r="B775" s="34"/>
      <c r="C775" s="124"/>
      <c r="D775" s="34"/>
      <c r="E775" s="34"/>
    </row>
    <row r="776">
      <c r="A776" s="34"/>
      <c r="B776" s="34"/>
      <c r="C776" s="124"/>
      <c r="D776" s="34"/>
      <c r="E776" s="34"/>
    </row>
    <row r="777">
      <c r="A777" s="34"/>
      <c r="B777" s="34"/>
      <c r="C777" s="124"/>
      <c r="D777" s="34"/>
      <c r="E777" s="34"/>
    </row>
    <row r="778">
      <c r="A778" s="34"/>
      <c r="B778" s="34"/>
      <c r="C778" s="124"/>
      <c r="D778" s="34"/>
      <c r="E778" s="34"/>
    </row>
    <row r="779">
      <c r="A779" s="34"/>
      <c r="B779" s="34"/>
      <c r="C779" s="124"/>
      <c r="D779" s="34"/>
      <c r="E779" s="34"/>
    </row>
    <row r="780">
      <c r="A780" s="34"/>
      <c r="B780" s="34"/>
      <c r="C780" s="124"/>
      <c r="D780" s="34"/>
      <c r="E780" s="34"/>
    </row>
    <row r="781">
      <c r="A781" s="34"/>
      <c r="B781" s="34"/>
      <c r="C781" s="124"/>
      <c r="D781" s="34"/>
      <c r="E781" s="34"/>
    </row>
    <row r="782">
      <c r="A782" s="34"/>
      <c r="B782" s="34"/>
      <c r="C782" s="124"/>
      <c r="D782" s="34"/>
      <c r="E782" s="34"/>
    </row>
    <row r="783">
      <c r="A783" s="34"/>
      <c r="B783" s="34"/>
      <c r="C783" s="124"/>
      <c r="D783" s="34"/>
      <c r="E783" s="34"/>
    </row>
    <row r="784">
      <c r="A784" s="34"/>
      <c r="B784" s="34"/>
      <c r="C784" s="124"/>
      <c r="D784" s="34"/>
      <c r="E784" s="34"/>
    </row>
    <row r="785">
      <c r="A785" s="34"/>
      <c r="B785" s="34"/>
      <c r="C785" s="124"/>
      <c r="D785" s="34"/>
      <c r="E785" s="34"/>
    </row>
    <row r="786">
      <c r="A786" s="34"/>
      <c r="B786" s="34"/>
      <c r="C786" s="124"/>
      <c r="D786" s="34"/>
      <c r="E786" s="34"/>
    </row>
    <row r="787">
      <c r="A787" s="34"/>
      <c r="B787" s="34"/>
      <c r="C787" s="124"/>
      <c r="D787" s="34"/>
      <c r="E787" s="34"/>
    </row>
    <row r="788">
      <c r="A788" s="34"/>
      <c r="B788" s="34"/>
      <c r="C788" s="124"/>
      <c r="D788" s="34"/>
      <c r="E788" s="34"/>
    </row>
    <row r="789">
      <c r="A789" s="34"/>
      <c r="B789" s="34"/>
      <c r="C789" s="124"/>
      <c r="D789" s="34"/>
      <c r="E789" s="34"/>
    </row>
    <row r="790">
      <c r="A790" s="34"/>
      <c r="B790" s="34"/>
      <c r="C790" s="124"/>
      <c r="D790" s="34"/>
      <c r="E790" s="34"/>
    </row>
    <row r="791">
      <c r="A791" s="34"/>
      <c r="B791" s="34"/>
      <c r="C791" s="124"/>
      <c r="D791" s="34"/>
      <c r="E791" s="34"/>
    </row>
    <row r="792">
      <c r="A792" s="34"/>
      <c r="B792" s="34"/>
      <c r="C792" s="124"/>
      <c r="D792" s="34"/>
      <c r="E792" s="34"/>
    </row>
    <row r="793">
      <c r="A793" s="34"/>
      <c r="B793" s="34"/>
      <c r="C793" s="124"/>
      <c r="D793" s="34"/>
      <c r="E793" s="34"/>
    </row>
    <row r="794">
      <c r="A794" s="34"/>
      <c r="B794" s="34"/>
      <c r="C794" s="124"/>
      <c r="D794" s="34"/>
      <c r="E794" s="34"/>
    </row>
    <row r="795">
      <c r="A795" s="34"/>
      <c r="B795" s="34"/>
      <c r="C795" s="124"/>
      <c r="D795" s="34"/>
      <c r="E795" s="34"/>
    </row>
    <row r="796">
      <c r="A796" s="34"/>
      <c r="B796" s="34"/>
      <c r="C796" s="124"/>
      <c r="D796" s="34"/>
      <c r="E796" s="34"/>
    </row>
    <row r="797">
      <c r="A797" s="34"/>
      <c r="B797" s="34"/>
      <c r="C797" s="124"/>
      <c r="D797" s="34"/>
      <c r="E797" s="34"/>
    </row>
    <row r="798">
      <c r="A798" s="34"/>
      <c r="B798" s="34"/>
      <c r="C798" s="124"/>
      <c r="D798" s="34"/>
      <c r="E798" s="34"/>
    </row>
    <row r="799">
      <c r="A799" s="34"/>
      <c r="B799" s="34"/>
      <c r="C799" s="124"/>
      <c r="D799" s="34"/>
      <c r="E799" s="34"/>
    </row>
    <row r="800">
      <c r="A800" s="34"/>
      <c r="B800" s="34"/>
      <c r="C800" s="124"/>
      <c r="D800" s="34"/>
      <c r="E800" s="34"/>
    </row>
    <row r="801">
      <c r="A801" s="34"/>
      <c r="B801" s="34"/>
      <c r="C801" s="124"/>
      <c r="D801" s="34"/>
      <c r="E801" s="34"/>
    </row>
    <row r="802">
      <c r="A802" s="34"/>
      <c r="B802" s="34"/>
      <c r="C802" s="124"/>
      <c r="D802" s="34"/>
      <c r="E802" s="34"/>
    </row>
    <row r="803">
      <c r="A803" s="34"/>
      <c r="B803" s="34"/>
      <c r="C803" s="124"/>
      <c r="D803" s="34"/>
      <c r="E803" s="34"/>
    </row>
    <row r="804">
      <c r="A804" s="34"/>
      <c r="B804" s="34"/>
      <c r="C804" s="124"/>
      <c r="D804" s="34"/>
      <c r="E804" s="34"/>
    </row>
    <row r="805">
      <c r="A805" s="34"/>
      <c r="B805" s="34"/>
      <c r="C805" s="124"/>
      <c r="D805" s="34"/>
      <c r="E805" s="34"/>
    </row>
    <row r="806">
      <c r="A806" s="34"/>
      <c r="B806" s="34"/>
      <c r="C806" s="124"/>
      <c r="D806" s="34"/>
      <c r="E806" s="34"/>
    </row>
    <row r="807">
      <c r="A807" s="34"/>
      <c r="B807" s="34"/>
      <c r="C807" s="124"/>
      <c r="D807" s="34"/>
      <c r="E807" s="34"/>
    </row>
    <row r="808">
      <c r="A808" s="34"/>
      <c r="B808" s="34"/>
      <c r="C808" s="124"/>
      <c r="D808" s="34"/>
      <c r="E808" s="34"/>
    </row>
    <row r="809">
      <c r="A809" s="34"/>
      <c r="B809" s="34"/>
      <c r="C809" s="124"/>
      <c r="D809" s="34"/>
      <c r="E809" s="34"/>
    </row>
    <row r="810">
      <c r="A810" s="34"/>
      <c r="B810" s="34"/>
      <c r="C810" s="124"/>
      <c r="D810" s="34"/>
      <c r="E810" s="34"/>
    </row>
    <row r="811">
      <c r="A811" s="34"/>
      <c r="B811" s="34"/>
      <c r="C811" s="124"/>
      <c r="D811" s="34"/>
      <c r="E811" s="34"/>
    </row>
    <row r="812">
      <c r="A812" s="34"/>
      <c r="B812" s="34"/>
      <c r="C812" s="124"/>
      <c r="D812" s="34"/>
      <c r="E812" s="34"/>
    </row>
    <row r="813">
      <c r="A813" s="34"/>
      <c r="B813" s="34"/>
      <c r="C813" s="124"/>
      <c r="D813" s="34"/>
      <c r="E813" s="34"/>
    </row>
    <row r="814">
      <c r="A814" s="34"/>
      <c r="B814" s="34"/>
      <c r="C814" s="124"/>
      <c r="D814" s="34"/>
      <c r="E814" s="34"/>
    </row>
    <row r="815">
      <c r="A815" s="34"/>
      <c r="B815" s="34"/>
      <c r="C815" s="124"/>
      <c r="D815" s="34"/>
      <c r="E815" s="34"/>
    </row>
    <row r="816">
      <c r="A816" s="34"/>
      <c r="B816" s="34"/>
      <c r="C816" s="124"/>
      <c r="D816" s="34"/>
      <c r="E816" s="34"/>
    </row>
    <row r="817">
      <c r="A817" s="34"/>
      <c r="B817" s="34"/>
      <c r="C817" s="124"/>
      <c r="D817" s="34"/>
      <c r="E817" s="34"/>
    </row>
    <row r="818">
      <c r="A818" s="34"/>
      <c r="B818" s="34"/>
      <c r="C818" s="124"/>
      <c r="D818" s="34"/>
      <c r="E818" s="34"/>
    </row>
    <row r="819">
      <c r="A819" s="34"/>
      <c r="B819" s="34"/>
      <c r="C819" s="124"/>
      <c r="D819" s="34"/>
      <c r="E819" s="34"/>
    </row>
    <row r="820">
      <c r="A820" s="34"/>
      <c r="B820" s="34"/>
      <c r="C820" s="124"/>
      <c r="D820" s="34"/>
      <c r="E820" s="34"/>
    </row>
    <row r="821">
      <c r="A821" s="34"/>
      <c r="B821" s="34"/>
      <c r="C821" s="124"/>
      <c r="D821" s="34"/>
      <c r="E821" s="34"/>
    </row>
    <row r="822">
      <c r="A822" s="34"/>
      <c r="B822" s="34"/>
      <c r="C822" s="124"/>
      <c r="D822" s="34"/>
      <c r="E822" s="34"/>
    </row>
    <row r="823">
      <c r="A823" s="34"/>
      <c r="B823" s="34"/>
      <c r="C823" s="124"/>
      <c r="D823" s="34"/>
      <c r="E823" s="34"/>
    </row>
    <row r="824">
      <c r="A824" s="34"/>
      <c r="B824" s="34"/>
      <c r="C824" s="124"/>
      <c r="D824" s="34"/>
      <c r="E824" s="34"/>
    </row>
    <row r="825">
      <c r="A825" s="34"/>
      <c r="B825" s="34"/>
      <c r="C825" s="124"/>
      <c r="D825" s="34"/>
      <c r="E825" s="34"/>
    </row>
    <row r="826">
      <c r="A826" s="34"/>
      <c r="B826" s="34"/>
      <c r="C826" s="124"/>
      <c r="D826" s="34"/>
      <c r="E826" s="34"/>
    </row>
    <row r="827">
      <c r="A827" s="34"/>
      <c r="B827" s="34"/>
      <c r="C827" s="124"/>
      <c r="D827" s="34"/>
      <c r="E827" s="34"/>
    </row>
    <row r="828">
      <c r="A828" s="34"/>
      <c r="B828" s="34"/>
      <c r="C828" s="124"/>
      <c r="D828" s="34"/>
      <c r="E828" s="34"/>
    </row>
    <row r="829">
      <c r="A829" s="34"/>
      <c r="B829" s="34"/>
      <c r="C829" s="124"/>
      <c r="D829" s="34"/>
      <c r="E829" s="34"/>
    </row>
    <row r="830">
      <c r="A830" s="34"/>
      <c r="B830" s="34"/>
      <c r="C830" s="124"/>
      <c r="D830" s="34"/>
      <c r="E830" s="34"/>
    </row>
    <row r="831">
      <c r="A831" s="34"/>
      <c r="B831" s="34"/>
      <c r="C831" s="124"/>
      <c r="D831" s="34"/>
      <c r="E831" s="34"/>
    </row>
    <row r="832">
      <c r="A832" s="34"/>
      <c r="B832" s="34"/>
      <c r="C832" s="124"/>
      <c r="D832" s="34"/>
      <c r="E832" s="34"/>
    </row>
    <row r="833">
      <c r="A833" s="34"/>
      <c r="B833" s="34"/>
      <c r="C833" s="124"/>
      <c r="D833" s="34"/>
      <c r="E833" s="34"/>
    </row>
    <row r="834">
      <c r="A834" s="34"/>
      <c r="B834" s="34"/>
      <c r="C834" s="124"/>
      <c r="D834" s="34"/>
      <c r="E834" s="34"/>
    </row>
    <row r="835">
      <c r="A835" s="34"/>
      <c r="B835" s="34"/>
      <c r="C835" s="124"/>
      <c r="D835" s="34"/>
      <c r="E835" s="34"/>
    </row>
    <row r="836">
      <c r="A836" s="34"/>
      <c r="B836" s="34"/>
      <c r="C836" s="124"/>
      <c r="D836" s="34"/>
      <c r="E836" s="34"/>
    </row>
    <row r="837">
      <c r="A837" s="34"/>
      <c r="B837" s="34"/>
      <c r="C837" s="124"/>
      <c r="D837" s="34"/>
      <c r="E837" s="34"/>
    </row>
    <row r="838">
      <c r="A838" s="34"/>
      <c r="B838" s="34"/>
      <c r="C838" s="124"/>
      <c r="D838" s="34"/>
      <c r="E838" s="34"/>
    </row>
    <row r="839">
      <c r="A839" s="34"/>
      <c r="B839" s="34"/>
      <c r="C839" s="124"/>
      <c r="D839" s="34"/>
      <c r="E839" s="34"/>
    </row>
    <row r="840">
      <c r="A840" s="34"/>
      <c r="B840" s="34"/>
      <c r="C840" s="124"/>
      <c r="D840" s="34"/>
      <c r="E840" s="34"/>
    </row>
    <row r="841">
      <c r="A841" s="34"/>
      <c r="B841" s="34"/>
      <c r="C841" s="124"/>
      <c r="D841" s="34"/>
      <c r="E841" s="34"/>
    </row>
    <row r="842">
      <c r="A842" s="34"/>
      <c r="B842" s="34"/>
      <c r="C842" s="124"/>
      <c r="D842" s="34"/>
      <c r="E842" s="34"/>
    </row>
    <row r="843">
      <c r="A843" s="34"/>
      <c r="B843" s="34"/>
      <c r="C843" s="124"/>
      <c r="D843" s="34"/>
      <c r="E843" s="34"/>
    </row>
    <row r="844">
      <c r="A844" s="34"/>
      <c r="B844" s="34"/>
      <c r="C844" s="124"/>
      <c r="D844" s="34"/>
      <c r="E844" s="34"/>
    </row>
    <row r="845">
      <c r="A845" s="34"/>
      <c r="B845" s="34"/>
      <c r="C845" s="124"/>
      <c r="D845" s="34"/>
      <c r="E845" s="34"/>
    </row>
    <row r="846">
      <c r="A846" s="34"/>
      <c r="B846" s="34"/>
      <c r="C846" s="124"/>
      <c r="D846" s="34"/>
      <c r="E846" s="34"/>
    </row>
    <row r="847">
      <c r="A847" s="34"/>
      <c r="B847" s="34"/>
      <c r="C847" s="124"/>
      <c r="D847" s="34"/>
      <c r="E847" s="34"/>
    </row>
    <row r="848">
      <c r="A848" s="34"/>
      <c r="B848" s="34"/>
      <c r="C848" s="124"/>
      <c r="D848" s="34"/>
      <c r="E848" s="34"/>
    </row>
    <row r="849">
      <c r="A849" s="34"/>
      <c r="B849" s="34"/>
      <c r="C849" s="124"/>
      <c r="D849" s="34"/>
      <c r="E849" s="34"/>
    </row>
    <row r="850">
      <c r="A850" s="34"/>
      <c r="B850" s="34"/>
      <c r="C850" s="124"/>
      <c r="D850" s="34"/>
      <c r="E850" s="34"/>
    </row>
    <row r="851">
      <c r="A851" s="34"/>
      <c r="B851" s="34"/>
      <c r="C851" s="124"/>
      <c r="D851" s="34"/>
      <c r="E851" s="34"/>
    </row>
    <row r="852">
      <c r="A852" s="34"/>
      <c r="B852" s="34"/>
      <c r="C852" s="124"/>
      <c r="D852" s="34"/>
      <c r="E852" s="34"/>
    </row>
    <row r="853">
      <c r="A853" s="34"/>
      <c r="B853" s="34"/>
      <c r="C853" s="124"/>
      <c r="D853" s="34"/>
      <c r="E853" s="34"/>
    </row>
    <row r="854">
      <c r="A854" s="34"/>
      <c r="B854" s="34"/>
      <c r="C854" s="124"/>
      <c r="D854" s="34"/>
      <c r="E854" s="34"/>
    </row>
    <row r="855">
      <c r="A855" s="34"/>
      <c r="B855" s="34"/>
      <c r="C855" s="124"/>
      <c r="D855" s="34"/>
      <c r="E855" s="34"/>
    </row>
    <row r="856">
      <c r="A856" s="34"/>
      <c r="B856" s="34"/>
      <c r="C856" s="124"/>
      <c r="D856" s="34"/>
      <c r="E856" s="34"/>
    </row>
    <row r="857">
      <c r="A857" s="34"/>
      <c r="B857" s="34"/>
      <c r="C857" s="124"/>
      <c r="D857" s="34"/>
      <c r="E857" s="34"/>
    </row>
    <row r="858">
      <c r="A858" s="34"/>
      <c r="B858" s="34"/>
      <c r="C858" s="124"/>
      <c r="D858" s="34"/>
      <c r="E858" s="34"/>
    </row>
    <row r="859">
      <c r="A859" s="34"/>
      <c r="B859" s="34"/>
      <c r="C859" s="124"/>
      <c r="D859" s="34"/>
      <c r="E859" s="34"/>
    </row>
    <row r="860">
      <c r="A860" s="34"/>
      <c r="B860" s="34"/>
      <c r="C860" s="124"/>
      <c r="D860" s="34"/>
      <c r="E860" s="34"/>
    </row>
    <row r="861">
      <c r="A861" s="34"/>
      <c r="B861" s="34"/>
      <c r="C861" s="124"/>
      <c r="D861" s="34"/>
      <c r="E861" s="34"/>
    </row>
    <row r="862">
      <c r="A862" s="34"/>
      <c r="B862" s="34"/>
      <c r="C862" s="124"/>
      <c r="D862" s="34"/>
      <c r="E862" s="34"/>
    </row>
    <row r="863">
      <c r="A863" s="34"/>
      <c r="B863" s="34"/>
      <c r="C863" s="124"/>
      <c r="D863" s="34"/>
      <c r="E863" s="34"/>
    </row>
    <row r="864">
      <c r="A864" s="34"/>
      <c r="B864" s="34"/>
      <c r="C864" s="124"/>
      <c r="D864" s="34"/>
      <c r="E864" s="34"/>
    </row>
    <row r="865">
      <c r="A865" s="34"/>
      <c r="B865" s="34"/>
      <c r="C865" s="124"/>
      <c r="D865" s="34"/>
      <c r="E865" s="34"/>
    </row>
    <row r="866">
      <c r="A866" s="34"/>
      <c r="B866" s="34"/>
      <c r="C866" s="124"/>
      <c r="D866" s="34"/>
      <c r="E866" s="34"/>
    </row>
    <row r="867">
      <c r="A867" s="34"/>
      <c r="B867" s="34"/>
      <c r="C867" s="124"/>
      <c r="D867" s="34"/>
      <c r="E867" s="34"/>
    </row>
    <row r="868">
      <c r="A868" s="34"/>
      <c r="B868" s="34"/>
      <c r="C868" s="124"/>
      <c r="D868" s="34"/>
      <c r="E868" s="34"/>
    </row>
    <row r="869">
      <c r="A869" s="34"/>
      <c r="B869" s="34"/>
      <c r="C869" s="124"/>
      <c r="D869" s="34"/>
      <c r="E869" s="34"/>
    </row>
    <row r="870">
      <c r="A870" s="34"/>
      <c r="B870" s="34"/>
      <c r="C870" s="124"/>
      <c r="D870" s="34"/>
      <c r="E870" s="34"/>
    </row>
    <row r="871">
      <c r="A871" s="34"/>
      <c r="B871" s="34"/>
      <c r="C871" s="124"/>
      <c r="D871" s="34"/>
      <c r="E871" s="34"/>
    </row>
    <row r="872">
      <c r="A872" s="34"/>
      <c r="B872" s="34"/>
      <c r="C872" s="124"/>
      <c r="D872" s="34"/>
      <c r="E872" s="34"/>
    </row>
    <row r="873">
      <c r="A873" s="34"/>
      <c r="B873" s="34"/>
      <c r="C873" s="124"/>
      <c r="D873" s="34"/>
      <c r="E873" s="34"/>
    </row>
    <row r="874">
      <c r="A874" s="34"/>
      <c r="B874" s="34"/>
      <c r="C874" s="124"/>
      <c r="D874" s="34"/>
      <c r="E874" s="34"/>
    </row>
    <row r="875">
      <c r="A875" s="34"/>
      <c r="B875" s="34"/>
      <c r="C875" s="124"/>
      <c r="D875" s="34"/>
      <c r="E875" s="34"/>
    </row>
    <row r="876">
      <c r="A876" s="34"/>
      <c r="B876" s="34"/>
      <c r="C876" s="124"/>
      <c r="D876" s="34"/>
      <c r="E876" s="34"/>
    </row>
    <row r="877">
      <c r="A877" s="34"/>
      <c r="B877" s="34"/>
      <c r="C877" s="124"/>
      <c r="D877" s="34"/>
      <c r="E877" s="34"/>
    </row>
    <row r="878">
      <c r="A878" s="34"/>
      <c r="B878" s="34"/>
      <c r="C878" s="124"/>
      <c r="D878" s="34"/>
      <c r="E878" s="34"/>
    </row>
    <row r="879">
      <c r="A879" s="34"/>
      <c r="B879" s="34"/>
      <c r="C879" s="124"/>
      <c r="D879" s="34"/>
      <c r="E879" s="34"/>
    </row>
    <row r="880">
      <c r="A880" s="34"/>
      <c r="B880" s="34"/>
      <c r="C880" s="124"/>
      <c r="D880" s="34"/>
      <c r="E880" s="34"/>
    </row>
    <row r="881">
      <c r="A881" s="34"/>
      <c r="B881" s="34"/>
      <c r="C881" s="124"/>
      <c r="D881" s="34"/>
      <c r="E881" s="34"/>
    </row>
    <row r="882">
      <c r="A882" s="34"/>
      <c r="B882" s="34"/>
      <c r="C882" s="124"/>
      <c r="D882" s="34"/>
      <c r="E882" s="34"/>
    </row>
    <row r="883">
      <c r="A883" s="34"/>
      <c r="B883" s="34"/>
      <c r="C883" s="124"/>
      <c r="D883" s="34"/>
      <c r="E883" s="34"/>
    </row>
    <row r="884">
      <c r="A884" s="34"/>
      <c r="B884" s="34"/>
      <c r="C884" s="124"/>
      <c r="D884" s="34"/>
      <c r="E884" s="34"/>
    </row>
    <row r="885">
      <c r="A885" s="34"/>
      <c r="B885" s="34"/>
      <c r="C885" s="124"/>
      <c r="D885" s="34"/>
      <c r="E885" s="34"/>
    </row>
    <row r="886">
      <c r="A886" s="34"/>
      <c r="B886" s="34"/>
      <c r="C886" s="124"/>
      <c r="D886" s="34"/>
      <c r="E886" s="34"/>
    </row>
    <row r="887">
      <c r="A887" s="34"/>
      <c r="B887" s="34"/>
      <c r="C887" s="124"/>
      <c r="D887" s="34"/>
      <c r="E887" s="34"/>
    </row>
    <row r="888">
      <c r="A888" s="34"/>
      <c r="B888" s="34"/>
      <c r="C888" s="124"/>
      <c r="D888" s="34"/>
      <c r="E888" s="34"/>
    </row>
    <row r="889">
      <c r="A889" s="34"/>
      <c r="B889" s="34"/>
      <c r="C889" s="124"/>
      <c r="D889" s="34"/>
      <c r="E889" s="34"/>
    </row>
    <row r="890">
      <c r="A890" s="34"/>
      <c r="B890" s="34"/>
      <c r="C890" s="124"/>
      <c r="D890" s="34"/>
      <c r="E890" s="34"/>
    </row>
    <row r="891">
      <c r="A891" s="34"/>
      <c r="B891" s="34"/>
      <c r="C891" s="124"/>
      <c r="D891" s="34"/>
      <c r="E891" s="34"/>
    </row>
    <row r="892">
      <c r="A892" s="34"/>
      <c r="B892" s="34"/>
      <c r="C892" s="124"/>
      <c r="D892" s="34"/>
      <c r="E892" s="34"/>
    </row>
    <row r="893">
      <c r="A893" s="34"/>
      <c r="B893" s="34"/>
      <c r="C893" s="124"/>
      <c r="D893" s="34"/>
      <c r="E893" s="34"/>
    </row>
    <row r="894">
      <c r="A894" s="34"/>
      <c r="B894" s="34"/>
      <c r="C894" s="124"/>
      <c r="D894" s="34"/>
      <c r="E894" s="34"/>
    </row>
    <row r="895">
      <c r="A895" s="34"/>
      <c r="B895" s="34"/>
      <c r="C895" s="124"/>
      <c r="D895" s="34"/>
      <c r="E895" s="34"/>
    </row>
    <row r="896">
      <c r="A896" s="34"/>
      <c r="B896" s="34"/>
      <c r="C896" s="124"/>
      <c r="D896" s="34"/>
      <c r="E896" s="34"/>
    </row>
    <row r="897">
      <c r="A897" s="34"/>
      <c r="B897" s="34"/>
      <c r="C897" s="124"/>
      <c r="D897" s="34"/>
      <c r="E897" s="34"/>
    </row>
    <row r="898">
      <c r="A898" s="34"/>
      <c r="B898" s="34"/>
      <c r="C898" s="124"/>
      <c r="D898" s="34"/>
      <c r="E898" s="34"/>
    </row>
    <row r="899">
      <c r="A899" s="34"/>
      <c r="B899" s="34"/>
      <c r="C899" s="124"/>
      <c r="D899" s="34"/>
      <c r="E899" s="34"/>
    </row>
    <row r="900">
      <c r="A900" s="34"/>
      <c r="B900" s="34"/>
      <c r="C900" s="124"/>
      <c r="D900" s="34"/>
      <c r="E900" s="34"/>
    </row>
    <row r="901">
      <c r="A901" s="34"/>
      <c r="B901" s="34"/>
      <c r="C901" s="124"/>
      <c r="D901" s="34"/>
      <c r="E901" s="34"/>
    </row>
    <row r="902">
      <c r="A902" s="34"/>
      <c r="B902" s="34"/>
      <c r="C902" s="124"/>
      <c r="D902" s="34"/>
      <c r="E902" s="34"/>
    </row>
    <row r="903">
      <c r="A903" s="34"/>
      <c r="B903" s="34"/>
      <c r="C903" s="124"/>
      <c r="D903" s="34"/>
      <c r="E903" s="34"/>
    </row>
    <row r="904">
      <c r="A904" s="34"/>
      <c r="B904" s="34"/>
      <c r="C904" s="124"/>
      <c r="D904" s="34"/>
      <c r="E904" s="34"/>
    </row>
    <row r="905">
      <c r="A905" s="34"/>
      <c r="B905" s="34"/>
      <c r="C905" s="124"/>
      <c r="D905" s="34"/>
      <c r="E905" s="34"/>
    </row>
    <row r="906">
      <c r="A906" s="34"/>
      <c r="B906" s="34"/>
      <c r="C906" s="124"/>
      <c r="D906" s="34"/>
      <c r="E906" s="34"/>
    </row>
    <row r="907">
      <c r="A907" s="34"/>
      <c r="B907" s="34"/>
      <c r="C907" s="124"/>
      <c r="D907" s="34"/>
      <c r="E907" s="34"/>
    </row>
    <row r="908">
      <c r="A908" s="34"/>
      <c r="B908" s="34"/>
      <c r="C908" s="124"/>
      <c r="D908" s="34"/>
      <c r="E908" s="34"/>
    </row>
    <row r="909">
      <c r="A909" s="34"/>
      <c r="B909" s="34"/>
      <c r="C909" s="124"/>
      <c r="D909" s="34"/>
      <c r="E909" s="34"/>
    </row>
    <row r="910">
      <c r="A910" s="34"/>
      <c r="B910" s="34"/>
      <c r="C910" s="124"/>
      <c r="D910" s="34"/>
      <c r="E910" s="34"/>
    </row>
    <row r="911">
      <c r="A911" s="34"/>
      <c r="B911" s="34"/>
      <c r="C911" s="124"/>
      <c r="D911" s="34"/>
      <c r="E911" s="34"/>
    </row>
    <row r="912">
      <c r="A912" s="34"/>
      <c r="B912" s="34"/>
      <c r="C912" s="124"/>
      <c r="D912" s="34"/>
      <c r="E912" s="34"/>
    </row>
    <row r="913">
      <c r="A913" s="34"/>
      <c r="B913" s="34"/>
      <c r="C913" s="124"/>
      <c r="D913" s="34"/>
      <c r="E913" s="34"/>
    </row>
    <row r="914">
      <c r="A914" s="34"/>
      <c r="B914" s="34"/>
      <c r="C914" s="124"/>
      <c r="D914" s="34"/>
      <c r="E914" s="34"/>
    </row>
    <row r="915">
      <c r="A915" s="34"/>
      <c r="B915" s="34"/>
      <c r="C915" s="124"/>
      <c r="D915" s="34"/>
      <c r="E915" s="34"/>
    </row>
    <row r="916">
      <c r="A916" s="34"/>
      <c r="B916" s="34"/>
      <c r="C916" s="124"/>
      <c r="D916" s="34"/>
      <c r="E916" s="34"/>
    </row>
    <row r="917">
      <c r="A917" s="34"/>
      <c r="B917" s="34"/>
      <c r="C917" s="124"/>
      <c r="D917" s="34"/>
      <c r="E917" s="34"/>
    </row>
    <row r="918">
      <c r="A918" s="34"/>
      <c r="B918" s="34"/>
      <c r="C918" s="124"/>
      <c r="D918" s="34"/>
      <c r="E918" s="34"/>
    </row>
    <row r="919">
      <c r="A919" s="34"/>
      <c r="B919" s="34"/>
      <c r="C919" s="124"/>
      <c r="D919" s="34"/>
      <c r="E919" s="34"/>
    </row>
    <row r="920">
      <c r="A920" s="34"/>
      <c r="B920" s="34"/>
      <c r="C920" s="124"/>
      <c r="D920" s="34"/>
      <c r="E920" s="34"/>
    </row>
    <row r="921">
      <c r="A921" s="34"/>
      <c r="B921" s="34"/>
      <c r="C921" s="124"/>
      <c r="D921" s="34"/>
      <c r="E921" s="34"/>
    </row>
    <row r="922">
      <c r="A922" s="34"/>
      <c r="B922" s="34"/>
      <c r="C922" s="124"/>
      <c r="D922" s="34"/>
      <c r="E922" s="34"/>
    </row>
    <row r="923">
      <c r="A923" s="34"/>
      <c r="B923" s="34"/>
      <c r="C923" s="124"/>
      <c r="D923" s="34"/>
      <c r="E923" s="34"/>
    </row>
    <row r="924">
      <c r="A924" s="34"/>
      <c r="B924" s="34"/>
      <c r="C924" s="124"/>
      <c r="D924" s="34"/>
      <c r="E924" s="34"/>
    </row>
    <row r="925">
      <c r="A925" s="34"/>
      <c r="B925" s="34"/>
      <c r="C925" s="124"/>
      <c r="D925" s="34"/>
      <c r="E925" s="34"/>
    </row>
    <row r="926">
      <c r="A926" s="34"/>
      <c r="B926" s="34"/>
      <c r="C926" s="124"/>
      <c r="D926" s="34"/>
      <c r="E926" s="34"/>
    </row>
    <row r="927">
      <c r="A927" s="34"/>
      <c r="B927" s="34"/>
      <c r="C927" s="124"/>
      <c r="D927" s="34"/>
      <c r="E927" s="34"/>
    </row>
    <row r="928">
      <c r="A928" s="34"/>
      <c r="B928" s="34"/>
      <c r="C928" s="124"/>
      <c r="D928" s="34"/>
      <c r="E928" s="34"/>
    </row>
    <row r="929">
      <c r="A929" s="34"/>
      <c r="B929" s="34"/>
      <c r="C929" s="124"/>
      <c r="D929" s="34"/>
      <c r="E929" s="34"/>
    </row>
    <row r="930">
      <c r="A930" s="34"/>
      <c r="B930" s="34"/>
      <c r="C930" s="124"/>
      <c r="D930" s="34"/>
      <c r="E930" s="34"/>
    </row>
    <row r="931">
      <c r="A931" s="34"/>
      <c r="B931" s="34"/>
      <c r="C931" s="124"/>
      <c r="D931" s="34"/>
      <c r="E931" s="34"/>
    </row>
    <row r="932">
      <c r="A932" s="34"/>
      <c r="B932" s="34"/>
      <c r="C932" s="124"/>
      <c r="D932" s="34"/>
      <c r="E932" s="34"/>
    </row>
    <row r="933">
      <c r="A933" s="34"/>
      <c r="B933" s="34"/>
      <c r="C933" s="124"/>
      <c r="D933" s="34"/>
      <c r="E933" s="34"/>
    </row>
    <row r="934">
      <c r="A934" s="34"/>
      <c r="B934" s="34"/>
      <c r="C934" s="124"/>
      <c r="D934" s="34"/>
      <c r="E934" s="34"/>
    </row>
    <row r="935">
      <c r="A935" s="34"/>
      <c r="B935" s="34"/>
      <c r="C935" s="124"/>
      <c r="D935" s="34"/>
      <c r="E935" s="34"/>
    </row>
    <row r="936">
      <c r="A936" s="34"/>
      <c r="B936" s="34"/>
      <c r="C936" s="124"/>
      <c r="D936" s="34"/>
      <c r="E936" s="34"/>
    </row>
    <row r="937">
      <c r="A937" s="34"/>
      <c r="B937" s="34"/>
      <c r="C937" s="124"/>
      <c r="D937" s="34"/>
      <c r="E937" s="34"/>
    </row>
    <row r="938">
      <c r="A938" s="34"/>
      <c r="B938" s="34"/>
      <c r="C938" s="124"/>
      <c r="D938" s="34"/>
      <c r="E938" s="34"/>
    </row>
    <row r="939">
      <c r="A939" s="34"/>
      <c r="B939" s="34"/>
      <c r="C939" s="124"/>
      <c r="D939" s="34"/>
      <c r="E939" s="34"/>
    </row>
    <row r="940">
      <c r="A940" s="34"/>
      <c r="B940" s="34"/>
      <c r="C940" s="124"/>
      <c r="D940" s="34"/>
      <c r="E940" s="34"/>
    </row>
    <row r="941">
      <c r="A941" s="34"/>
      <c r="B941" s="34"/>
      <c r="C941" s="124"/>
      <c r="D941" s="34"/>
      <c r="E941" s="34"/>
    </row>
    <row r="942">
      <c r="A942" s="34"/>
      <c r="B942" s="34"/>
      <c r="C942" s="124"/>
      <c r="D942" s="34"/>
      <c r="E942" s="34"/>
    </row>
    <row r="943">
      <c r="A943" s="34"/>
      <c r="B943" s="34"/>
      <c r="C943" s="124"/>
      <c r="D943" s="34"/>
      <c r="E943" s="34"/>
    </row>
    <row r="944">
      <c r="A944" s="34"/>
      <c r="B944" s="34"/>
      <c r="C944" s="124"/>
      <c r="D944" s="34"/>
      <c r="E944" s="34"/>
    </row>
    <row r="945">
      <c r="A945" s="34"/>
      <c r="B945" s="34"/>
      <c r="C945" s="124"/>
      <c r="D945" s="34"/>
      <c r="E945" s="34"/>
    </row>
    <row r="946">
      <c r="A946" s="34"/>
      <c r="B946" s="34"/>
      <c r="C946" s="124"/>
      <c r="D946" s="34"/>
      <c r="E946" s="34"/>
    </row>
    <row r="947">
      <c r="A947" s="34"/>
      <c r="B947" s="34"/>
      <c r="C947" s="124"/>
      <c r="D947" s="34"/>
      <c r="E947" s="34"/>
    </row>
    <row r="948">
      <c r="A948" s="34"/>
      <c r="B948" s="34"/>
      <c r="C948" s="124"/>
      <c r="D948" s="34"/>
      <c r="E948" s="34"/>
    </row>
    <row r="949">
      <c r="A949" s="34"/>
      <c r="B949" s="34"/>
      <c r="C949" s="124"/>
      <c r="D949" s="34"/>
      <c r="E949" s="34"/>
    </row>
    <row r="950">
      <c r="A950" s="34"/>
      <c r="B950" s="34"/>
      <c r="C950" s="124"/>
      <c r="D950" s="34"/>
      <c r="E950" s="34"/>
    </row>
    <row r="951">
      <c r="A951" s="34"/>
      <c r="B951" s="34"/>
      <c r="C951" s="124"/>
      <c r="D951" s="34"/>
      <c r="E951" s="34"/>
    </row>
    <row r="952">
      <c r="A952" s="34"/>
      <c r="B952" s="34"/>
      <c r="C952" s="124"/>
      <c r="D952" s="34"/>
      <c r="E952" s="34"/>
    </row>
    <row r="953">
      <c r="A953" s="34"/>
      <c r="B953" s="34"/>
      <c r="C953" s="124"/>
      <c r="D953" s="34"/>
      <c r="E953" s="34"/>
    </row>
    <row r="954">
      <c r="A954" s="34"/>
      <c r="B954" s="34"/>
      <c r="C954" s="124"/>
      <c r="D954" s="34"/>
      <c r="E954" s="34"/>
    </row>
    <row r="955">
      <c r="A955" s="34"/>
      <c r="B955" s="34"/>
      <c r="C955" s="124"/>
      <c r="D955" s="34"/>
      <c r="E955" s="34"/>
    </row>
    <row r="956">
      <c r="A956" s="34"/>
      <c r="B956" s="34"/>
      <c r="C956" s="124"/>
      <c r="D956" s="34"/>
      <c r="E956" s="34"/>
    </row>
    <row r="957">
      <c r="A957" s="34"/>
      <c r="B957" s="34"/>
      <c r="C957" s="124"/>
      <c r="D957" s="34"/>
      <c r="E957" s="34"/>
    </row>
    <row r="958">
      <c r="A958" s="34"/>
      <c r="B958" s="34"/>
      <c r="C958" s="124"/>
      <c r="D958" s="34"/>
      <c r="E958" s="34"/>
    </row>
    <row r="959">
      <c r="A959" s="34"/>
      <c r="B959" s="34"/>
      <c r="C959" s="124"/>
      <c r="D959" s="34"/>
      <c r="E959" s="34"/>
    </row>
    <row r="960">
      <c r="A960" s="34"/>
      <c r="B960" s="34"/>
      <c r="C960" s="124"/>
      <c r="D960" s="34"/>
      <c r="E960" s="34"/>
    </row>
    <row r="961">
      <c r="A961" s="34"/>
      <c r="B961" s="34"/>
      <c r="C961" s="124"/>
      <c r="D961" s="34"/>
      <c r="E961" s="34"/>
    </row>
    <row r="962">
      <c r="A962" s="34"/>
      <c r="B962" s="34"/>
      <c r="C962" s="124"/>
      <c r="D962" s="34"/>
      <c r="E962" s="34"/>
    </row>
    <row r="963">
      <c r="A963" s="34"/>
      <c r="B963" s="34"/>
      <c r="C963" s="124"/>
      <c r="D963" s="34"/>
      <c r="E963" s="34"/>
    </row>
    <row r="964">
      <c r="A964" s="34"/>
      <c r="B964" s="34"/>
      <c r="C964" s="124"/>
      <c r="D964" s="34"/>
      <c r="E964" s="34"/>
    </row>
    <row r="965">
      <c r="A965" s="34"/>
      <c r="B965" s="34"/>
      <c r="C965" s="124"/>
      <c r="D965" s="34"/>
      <c r="E965" s="34"/>
    </row>
    <row r="966">
      <c r="A966" s="34"/>
      <c r="B966" s="34"/>
      <c r="C966" s="124"/>
      <c r="D966" s="34"/>
      <c r="E966" s="34"/>
    </row>
    <row r="967">
      <c r="A967" s="34"/>
      <c r="B967" s="34"/>
      <c r="C967" s="124"/>
      <c r="D967" s="34"/>
      <c r="E967" s="34"/>
    </row>
    <row r="968">
      <c r="A968" s="34"/>
      <c r="B968" s="34"/>
      <c r="C968" s="124"/>
      <c r="D968" s="34"/>
      <c r="E968" s="34"/>
    </row>
    <row r="969">
      <c r="A969" s="34"/>
      <c r="B969" s="34"/>
      <c r="C969" s="124"/>
      <c r="D969" s="34"/>
      <c r="E969" s="34"/>
    </row>
    <row r="970">
      <c r="A970" s="34"/>
      <c r="B970" s="34"/>
      <c r="C970" s="124"/>
      <c r="D970" s="34"/>
      <c r="E970" s="34"/>
    </row>
    <row r="971">
      <c r="A971" s="34"/>
      <c r="B971" s="34"/>
      <c r="C971" s="124"/>
      <c r="D971" s="34"/>
      <c r="E971" s="34"/>
    </row>
    <row r="972">
      <c r="A972" s="34"/>
      <c r="B972" s="34"/>
      <c r="C972" s="124"/>
      <c r="D972" s="34"/>
      <c r="E972" s="34"/>
    </row>
    <row r="973">
      <c r="A973" s="34"/>
      <c r="B973" s="34"/>
      <c r="C973" s="124"/>
      <c r="D973" s="34"/>
      <c r="E973" s="34"/>
    </row>
    <row r="974">
      <c r="A974" s="34"/>
      <c r="B974" s="34"/>
      <c r="C974" s="124"/>
      <c r="D974" s="34"/>
      <c r="E974" s="34"/>
    </row>
    <row r="975">
      <c r="A975" s="34"/>
      <c r="B975" s="34"/>
      <c r="C975" s="124"/>
      <c r="D975" s="34"/>
      <c r="E975" s="34"/>
    </row>
    <row r="976">
      <c r="A976" s="34"/>
      <c r="B976" s="34"/>
      <c r="C976" s="124"/>
      <c r="D976" s="34"/>
      <c r="E976" s="34"/>
    </row>
    <row r="977">
      <c r="A977" s="34"/>
      <c r="B977" s="34"/>
      <c r="C977" s="124"/>
      <c r="D977" s="34"/>
      <c r="E977" s="34"/>
    </row>
    <row r="978">
      <c r="A978" s="34"/>
      <c r="B978" s="34"/>
      <c r="C978" s="124"/>
      <c r="D978" s="34"/>
      <c r="E978" s="34"/>
    </row>
    <row r="979">
      <c r="A979" s="34"/>
      <c r="B979" s="34"/>
      <c r="C979" s="124"/>
      <c r="D979" s="34"/>
      <c r="E979" s="34"/>
    </row>
    <row r="980">
      <c r="A980" s="34"/>
      <c r="B980" s="34"/>
      <c r="C980" s="124"/>
      <c r="D980" s="34"/>
      <c r="E980" s="34"/>
    </row>
    <row r="981">
      <c r="A981" s="34"/>
      <c r="B981" s="34"/>
      <c r="C981" s="124"/>
      <c r="D981" s="34"/>
      <c r="E981" s="34"/>
    </row>
    <row r="982">
      <c r="A982" s="34"/>
      <c r="B982" s="34"/>
      <c r="C982" s="124"/>
      <c r="D982" s="34"/>
      <c r="E982" s="34"/>
    </row>
    <row r="983">
      <c r="A983" s="34"/>
      <c r="B983" s="34"/>
      <c r="C983" s="124"/>
      <c r="D983" s="34"/>
      <c r="E983" s="34"/>
    </row>
    <row r="984">
      <c r="A984" s="34"/>
      <c r="B984" s="34"/>
      <c r="C984" s="124"/>
      <c r="D984" s="34"/>
      <c r="E984" s="34"/>
    </row>
    <row r="985">
      <c r="A985" s="34"/>
      <c r="B985" s="34"/>
      <c r="C985" s="124"/>
      <c r="D985" s="34"/>
      <c r="E985" s="34"/>
    </row>
    <row r="986">
      <c r="A986" s="34"/>
      <c r="B986" s="34"/>
      <c r="C986" s="124"/>
      <c r="D986" s="34"/>
      <c r="E986" s="34"/>
    </row>
    <row r="987">
      <c r="A987" s="34"/>
      <c r="B987" s="34"/>
      <c r="C987" s="124"/>
      <c r="D987" s="34"/>
      <c r="E987" s="34"/>
    </row>
    <row r="988">
      <c r="A988" s="34"/>
      <c r="B988" s="34"/>
      <c r="C988" s="124"/>
      <c r="D988" s="34"/>
      <c r="E988" s="34"/>
    </row>
    <row r="989">
      <c r="A989" s="34"/>
      <c r="B989" s="34"/>
      <c r="C989" s="124"/>
      <c r="D989" s="34"/>
      <c r="E989" s="34"/>
    </row>
    <row r="990">
      <c r="A990" s="34"/>
      <c r="B990" s="34"/>
      <c r="C990" s="124"/>
      <c r="D990" s="34"/>
      <c r="E990" s="34"/>
    </row>
    <row r="991">
      <c r="A991" s="34"/>
      <c r="B991" s="34"/>
      <c r="C991" s="124"/>
      <c r="D991" s="34"/>
      <c r="E991" s="34"/>
    </row>
    <row r="992">
      <c r="A992" s="34"/>
      <c r="B992" s="34"/>
      <c r="C992" s="124"/>
      <c r="D992" s="34"/>
      <c r="E992" s="34"/>
    </row>
    <row r="993">
      <c r="A993" s="34"/>
      <c r="B993" s="34"/>
      <c r="C993" s="124"/>
      <c r="D993" s="34"/>
      <c r="E993" s="34"/>
    </row>
    <row r="994">
      <c r="A994" s="34"/>
      <c r="B994" s="34"/>
      <c r="C994" s="124"/>
      <c r="D994" s="34"/>
      <c r="E994" s="34"/>
    </row>
    <row r="995">
      <c r="A995" s="34"/>
      <c r="B995" s="34"/>
      <c r="C995" s="124"/>
      <c r="D995" s="34"/>
      <c r="E995" s="34"/>
    </row>
    <row r="996">
      <c r="A996" s="34"/>
      <c r="B996" s="34"/>
      <c r="C996" s="124"/>
      <c r="D996" s="34"/>
      <c r="E996" s="34"/>
    </row>
    <row r="997">
      <c r="A997" s="34"/>
      <c r="B997" s="34"/>
      <c r="C997" s="124"/>
      <c r="D997" s="34"/>
      <c r="E997" s="34"/>
    </row>
    <row r="998">
      <c r="A998" s="34"/>
      <c r="B998" s="34"/>
      <c r="C998" s="124"/>
      <c r="D998" s="34"/>
      <c r="E998" s="34"/>
    </row>
    <row r="999">
      <c r="A999" s="34"/>
      <c r="B999" s="34"/>
      <c r="C999" s="124"/>
      <c r="D999" s="34"/>
      <c r="E999" s="34"/>
    </row>
    <row r="1000">
      <c r="A1000" s="34"/>
      <c r="B1000" s="34"/>
      <c r="C1000" s="124"/>
      <c r="D1000" s="34"/>
      <c r="E1000" s="34"/>
    </row>
    <row r="1001">
      <c r="A1001" s="34"/>
      <c r="B1001" s="34"/>
      <c r="C1001" s="124"/>
      <c r="D1001" s="34"/>
      <c r="E1001" s="34"/>
    </row>
    <row r="1002">
      <c r="A1002" s="34"/>
      <c r="B1002" s="34"/>
      <c r="C1002" s="124"/>
      <c r="D1002" s="34"/>
      <c r="E1002" s="34"/>
    </row>
    <row r="1003">
      <c r="A1003" s="34"/>
      <c r="B1003" s="34"/>
      <c r="C1003" s="124"/>
      <c r="D1003" s="34"/>
      <c r="E1003" s="34"/>
    </row>
    <row r="1004">
      <c r="A1004" s="34"/>
      <c r="B1004" s="34"/>
      <c r="C1004" s="124"/>
      <c r="D1004" s="34"/>
      <c r="E1004" s="34"/>
    </row>
    <row r="1005">
      <c r="A1005" s="34"/>
      <c r="B1005" s="34"/>
      <c r="C1005" s="124"/>
      <c r="D1005" s="34"/>
      <c r="E1005" s="34"/>
    </row>
    <row r="1006">
      <c r="A1006" s="34"/>
      <c r="B1006" s="34"/>
      <c r="C1006" s="124"/>
      <c r="D1006" s="34"/>
      <c r="E1006" s="34"/>
    </row>
    <row r="1007">
      <c r="A1007" s="34"/>
      <c r="B1007" s="34"/>
      <c r="C1007" s="124"/>
      <c r="D1007" s="34"/>
      <c r="E1007" s="34"/>
    </row>
    <row r="1008">
      <c r="A1008" s="34"/>
      <c r="B1008" s="34"/>
      <c r="C1008" s="124"/>
      <c r="D1008" s="34"/>
      <c r="E1008" s="34"/>
    </row>
    <row r="1009">
      <c r="A1009" s="34"/>
      <c r="B1009" s="34"/>
      <c r="C1009" s="124"/>
      <c r="D1009" s="34"/>
      <c r="E1009" s="34"/>
    </row>
    <row r="1010">
      <c r="A1010" s="34"/>
      <c r="B1010" s="34"/>
      <c r="C1010" s="124"/>
      <c r="D1010" s="34"/>
      <c r="E1010" s="34"/>
    </row>
    <row r="1011">
      <c r="A1011" s="34"/>
      <c r="B1011" s="34"/>
      <c r="C1011" s="124"/>
      <c r="D1011" s="34"/>
      <c r="E1011" s="3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4.75"/>
    <col customWidth="1" min="2" max="18" width="7.63"/>
  </cols>
  <sheetData>
    <row r="1">
      <c r="A1" s="19"/>
      <c r="B1" s="18" t="s">
        <v>191</v>
      </c>
      <c r="R1" s="18"/>
    </row>
    <row r="2">
      <c r="A2" s="19"/>
      <c r="B2" s="20"/>
      <c r="C2" s="125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>
      <c r="A3" s="13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  <c r="N3" s="22" t="s">
        <v>15</v>
      </c>
      <c r="O3" s="22" t="s">
        <v>16</v>
      </c>
      <c r="P3" s="22" t="s">
        <v>17</v>
      </c>
      <c r="Q3" s="22" t="s">
        <v>18</v>
      </c>
      <c r="R3" s="22" t="s">
        <v>47</v>
      </c>
    </row>
    <row r="4">
      <c r="A4" s="13" t="s">
        <v>192</v>
      </c>
      <c r="B4" s="30">
        <v>40.88</v>
      </c>
      <c r="C4" s="24">
        <f>if(count(Actuals!C$4:C$76) =0, 0,ROUND(IF(Actuals!C4="",B4,IF(Actuals!C4 &gt; B4,(0.2*(Actuals!C4-B4)+B4),(0.5*(B4+Actuals!C4)))),2))</f>
        <v>40.88</v>
      </c>
      <c r="D4" s="24">
        <f>if(count(Actuals!D$4:D$76) =0, 0,ROUND(IF(Actuals!D4="",C4,IF(Actuals!D4 &gt; C4,(0.2*(Actuals!D4-C4)+C4),(0.5*(C4+Actuals!D4)))),2))</f>
        <v>40.88</v>
      </c>
      <c r="E4" s="24">
        <f>if(count(Actuals!E$4:E$76) =0, 0,ROUND(IF(Actuals!E4="",D4,IF(Actuals!E4 &gt; D4,(0.2*(Actuals!E4-D4)+D4),(0.5*(D4+Actuals!E4)))),2))</f>
        <v>40.88</v>
      </c>
      <c r="F4" s="24">
        <f>if(count(Actuals!F$4:F$76) =0, 0,ROUND(IF(Actuals!F4="",E4,IF(Actuals!F4 &gt; E4,(0.2*(Actuals!F4-E4)+E4),(0.5*(E4+Actuals!F4)))),2))</f>
        <v>40.88</v>
      </c>
      <c r="G4" s="24">
        <f>if(count(Actuals!G$4:G$76) =0, 0,ROUND(IF(Actuals!G4="",F4,IF(Actuals!G4 &gt; F4,(0.2*(Actuals!G4-F4)+F4),(0.5*(F4+Actuals!G4)))),2))</f>
        <v>40.88</v>
      </c>
      <c r="H4" s="24">
        <f>if(count(Actuals!H$4:H$76) =0, 0,ROUND(IF(Actuals!H4="",G4,IF(Actuals!H4 &gt; G4,(0.2*(Actuals!H4-G4)+G4),(0.5*(G4+Actuals!H4)))),2))</f>
        <v>40.88</v>
      </c>
      <c r="I4" s="24">
        <f>if(count(Actuals!I$4:I$76) =0, 0,ROUND(IF(Actuals!I4="",H4,IF(Actuals!I4 &gt; H4,(0.2*(Actuals!I4-H4)+H4),(0.5*(H4+Actuals!I4)))),2))</f>
        <v>40.88</v>
      </c>
      <c r="J4" s="24">
        <f>if(count(Actuals!J$4:J$76) =0, 0,ROUND(IF(Actuals!J4="",I4,IF(Actuals!J4 &gt; I4,(0.2*(Actuals!J4-I4)+I4),(0.5*(I4+Actuals!J4)))),2))</f>
        <v>40.88</v>
      </c>
      <c r="K4" s="24">
        <f>if(count(Actuals!K$4:K$76) =0, 0,ROUND(IF(Actuals!K4="",J4,IF(Actuals!K4 &gt; J4,(0.2*(Actuals!K4-J4)+J4),(0.5*(J4+Actuals!K4)))),2))</f>
        <v>40.88</v>
      </c>
      <c r="L4" s="24">
        <f>if(count(Actuals!L$4:L$76) =0, 0,ROUND(IF(Actuals!L4="",K4,IF(Actuals!L4 &gt; K4,(0.2*(Actuals!L4-K4)+K4),(0.5*(K4+Actuals!L4)))),2))</f>
        <v>40.88</v>
      </c>
      <c r="M4" s="24">
        <f>if(count(Actuals!M$4:M$76) =0, 0,ROUND(IF(Actuals!M4="",L4,IF(Actuals!M4 &gt; L4,(0.2*(Actuals!M4-L4)+L4),(0.5*(L4+Actuals!M4)))),2))</f>
        <v>40.88</v>
      </c>
      <c r="N4" s="24">
        <f>if(count(Actuals!N$4:N$76) =0, 0,ROUND(IF(Actuals!N4="",M4,IF(Actuals!N4 &gt; M4,(0.2*(Actuals!N4-M4)+M4),(0.5*(M4+Actuals!N4)))),2))</f>
        <v>40.88</v>
      </c>
      <c r="O4" s="24">
        <f>if(count(Actuals!O$4:O$76) =0, 0,ROUND(IF(Actuals!O4="",N4,IF(Actuals!O4 &gt; N4,(0.2*(Actuals!O4-N4)+N4),(0.5*(N4+Actuals!O4)))),2))</f>
        <v>40.88</v>
      </c>
      <c r="P4" s="24">
        <f>if(count(Actuals!P$4:P$76) =0, 0,ROUND(IF(Actuals!P4="",O4,IF(Actuals!P4 &gt; O4,(0.2*(Actuals!P4-O4)+O4),(0.5*(O4+Actuals!P4)))),2))</f>
        <v>40.88</v>
      </c>
      <c r="Q4" s="24">
        <f>if(count(Actuals!Q$4:Q$76) =0, 0,ROUND(IF(Actuals!Q4="",P4,IF(Actuals!Q4 &gt; P4,(0.2*(Actuals!Q4-P4)+P4),(0.5*(P4+Actuals!Q4)))),2))</f>
        <v>40.88</v>
      </c>
      <c r="R4" s="24">
        <f>if(count(Actuals!R$4:R$65) =0, 0,ROUND(IF(Actuals!R4="",Q4,IF(Actuals!R4 &gt; Q4,(0.2*(Actuals!R4-Q4)+Q4),(0.5*(Q4+Actuals!R4)))),2))</f>
        <v>0</v>
      </c>
    </row>
    <row r="5">
      <c r="A5" s="13" t="s">
        <v>193</v>
      </c>
      <c r="B5" s="24">
        <v>35.21</v>
      </c>
      <c r="C5" s="24">
        <f>if(count(Actuals!C$4:C$76) =0, 0,ROUND(IF(Actuals!C5="",B5,IF(Actuals!C5 &gt; B5,(0.2*(Actuals!C5-B5)+B5),(0.5*(B5+Actuals!C5)))),2))</f>
        <v>35.21</v>
      </c>
      <c r="D5" s="24">
        <f>if(count(Actuals!D$4:D$76) =0, 0,ROUND(IF(Actuals!D5="",C5,IF(Actuals!D5 &gt; C5,(0.2*(Actuals!D5-C5)+C5),(0.5*(C5+Actuals!D5)))),2))</f>
        <v>35.21</v>
      </c>
      <c r="E5" s="24">
        <f>if(count(Actuals!E$4:E$76) =0, 0,ROUND(IF(Actuals!E5="",D5,IF(Actuals!E5 &gt; D5,(0.2*(Actuals!E5-D5)+D5),(0.5*(D5+Actuals!E5)))),2))</f>
        <v>35.21</v>
      </c>
      <c r="F5" s="24">
        <f>if(count(Actuals!F$4:F$76) =0, 0,ROUND(IF(Actuals!F5="",E5,IF(Actuals!F5 &gt; E5,(0.2*(Actuals!F5-E5)+E5),(0.5*(E5+Actuals!F5)))),2))</f>
        <v>35.21</v>
      </c>
      <c r="G5" s="24">
        <f>if(count(Actuals!G$4:G$76) =0, 0,ROUND(IF(Actuals!G5="",F5,IF(Actuals!G5 &gt; F5,(0.2*(Actuals!G5-F5)+F5),(0.5*(F5+Actuals!G5)))),2))</f>
        <v>35.21</v>
      </c>
      <c r="H5" s="24">
        <f>if(count(Actuals!H$4:H$76) =0, 0,ROUND(IF(Actuals!H5="",G5,IF(Actuals!H5 &gt; G5,(0.2*(Actuals!H5-G5)+G5),(0.5*(G5+Actuals!H5)))),2))</f>
        <v>35.21</v>
      </c>
      <c r="I5" s="24">
        <f>if(count(Actuals!I$4:I$76) =0, 0,ROUND(IF(Actuals!I5="",H5,IF(Actuals!I5 &gt; H5,(0.2*(Actuals!I5-H5)+H5),(0.5*(H5+Actuals!I5)))),2))</f>
        <v>35.21</v>
      </c>
      <c r="J5" s="24">
        <f>if(count(Actuals!J$4:J$76) =0, 0,ROUND(IF(Actuals!J5="",I5,IF(Actuals!J5 &gt; I5,(0.2*(Actuals!J5-I5)+I5),(0.5*(I5+Actuals!J5)))),2))</f>
        <v>35.21</v>
      </c>
      <c r="K5" s="24">
        <f>if(count(Actuals!K$4:K$76) =0, 0,ROUND(IF(Actuals!K5="",J5,IF(Actuals!K5 &gt; J5,(0.2*(Actuals!K5-J5)+J5),(0.5*(J5+Actuals!K5)))),2))</f>
        <v>35.21</v>
      </c>
      <c r="L5" s="24">
        <f>if(count(Actuals!L$4:L$76) =0, 0,ROUND(IF(Actuals!L5="",K5,IF(Actuals!L5 &gt; K5,(0.2*(Actuals!L5-K5)+K5),(0.5*(K5+Actuals!L5)))),2))</f>
        <v>35.21</v>
      </c>
      <c r="M5" s="24">
        <f>if(count(Actuals!M$4:M$76) =0, 0,ROUND(IF(Actuals!M5="",L5,IF(Actuals!M5 &gt; L5,(0.2*(Actuals!M5-L5)+L5),(0.5*(L5+Actuals!M5)))),2))</f>
        <v>35.21</v>
      </c>
      <c r="N5" s="24">
        <f>if(count(Actuals!N$4:N$76) =0, 0,ROUND(IF(Actuals!N5="",M5,IF(Actuals!N5 &gt; M5,(0.2*(Actuals!N5-M5)+M5),(0.5*(M5+Actuals!N5)))),2))</f>
        <v>35.21</v>
      </c>
      <c r="O5" s="24">
        <f>if(count(Actuals!O$4:O$76) =0, 0,ROUND(IF(Actuals!O5="",N5,IF(Actuals!O5 &gt; N5,(0.2*(Actuals!O5-N5)+N5),(0.5*(N5+Actuals!O5)))),2))</f>
        <v>35.21</v>
      </c>
      <c r="P5" s="24">
        <f>if(count(Actuals!P$4:P$76) =0, 0,ROUND(IF(Actuals!P5="",O5,IF(Actuals!P5 &gt; O5,(0.2*(Actuals!P5-O5)+O5),(0.5*(O5+Actuals!P5)))),2))</f>
        <v>35.21</v>
      </c>
      <c r="Q5" s="24">
        <f>if(count(Actuals!Q$4:Q$76) =0, 0,ROUND(IF(Actuals!Q5="",P5,IF(Actuals!Q5 &gt; P5,(0.2*(Actuals!Q5-P5)+P5),(0.5*(P5+Actuals!Q5)))),2))</f>
        <v>35.21</v>
      </c>
      <c r="R5" s="24">
        <f>if(count(Actuals!R$4:R$65) =0, 0,ROUND(IF(Actuals!R5="",Q5,IF(Actuals!R5 &gt; Q5,(0.2*(Actuals!R5-Q5)+Q5),(0.5*(Q5+Actuals!R5)))),2))</f>
        <v>0</v>
      </c>
    </row>
    <row r="6">
      <c r="A6" s="13" t="s">
        <v>194</v>
      </c>
      <c r="B6" s="24">
        <v>0.0</v>
      </c>
      <c r="C6" s="24">
        <f>if(count(Actuals!C$4:C$76) =0, 0,ROUND(IF(Actuals!C6="",B6,IF(Actuals!C6 &gt; B6,(0.2*(Actuals!C6-B6)+B6),(0.5*(B6+Actuals!C6)))),2))</f>
        <v>0</v>
      </c>
      <c r="D6" s="24">
        <f>if(count(Actuals!D$4:D$76) =0, 0,ROUND(IF(Actuals!D6="",C6,IF(Actuals!D6 &gt; C6,(0.2*(Actuals!D6-C6)+C6),(0.5*(C6+Actuals!D6)))),2))</f>
        <v>0</v>
      </c>
      <c r="E6" s="24">
        <f>if(count(Actuals!E$4:E$76) =0, 0,ROUND(IF(Actuals!E6="",D6,IF(Actuals!E6 &gt; D6,(0.2*(Actuals!E6-D6)+D6),(0.5*(D6+Actuals!E6)))),2))</f>
        <v>0</v>
      </c>
      <c r="F6" s="24">
        <f>if(count(Actuals!F$4:F$76) =0, 0,ROUND(IF(Actuals!F6="",E6,IF(Actuals!F6 &gt; E6,(0.2*(Actuals!F6-E6)+E6),(0.5*(E6+Actuals!F6)))),2))</f>
        <v>0</v>
      </c>
      <c r="G6" s="24">
        <f>if(count(Actuals!G$4:G$76) =0, 0,ROUND(IF(Actuals!G6="",F6,IF(Actuals!G6 &gt; F6,(0.2*(Actuals!G6-F6)+F6),(0.5*(F6+Actuals!G6)))),2))</f>
        <v>0</v>
      </c>
      <c r="H6" s="24">
        <f>if(count(Actuals!H$4:H$76) =0, 0,ROUND(IF(Actuals!H6="",G6,IF(Actuals!H6 &gt; G6,(0.2*(Actuals!H6-G6)+G6),(0.5*(G6+Actuals!H6)))),2))</f>
        <v>0</v>
      </c>
      <c r="I6" s="24">
        <f>if(count(Actuals!I$4:I$76) =0, 0,ROUND(IF(Actuals!I6="",H6,IF(Actuals!I6 &gt; H6,(0.2*(Actuals!I6-H6)+H6),(0.5*(H6+Actuals!I6)))),2))</f>
        <v>0</v>
      </c>
      <c r="J6" s="24">
        <f>if(count(Actuals!J$4:J$76) =0, 0,ROUND(IF(Actuals!J6="",I6,IF(Actuals!J6 &gt; I6,(0.2*(Actuals!J6-I6)+I6),(0.5*(I6+Actuals!J6)))),2))</f>
        <v>0</v>
      </c>
      <c r="K6" s="24">
        <f>if(count(Actuals!K$4:K$76) =0, 0,ROUND(IF(Actuals!K6="",J6,IF(Actuals!K6 &gt; J6,(0.2*(Actuals!K6-J6)+J6),(0.5*(J6+Actuals!K6)))),2))</f>
        <v>0</v>
      </c>
      <c r="L6" s="24">
        <f>if(count(Actuals!L$4:L$76) =0, 0,ROUND(IF(Actuals!L6="",K6,IF(Actuals!L6 &gt; K6,(0.2*(Actuals!L6-K6)+K6),(0.5*(K6+Actuals!L6)))),2))</f>
        <v>0</v>
      </c>
      <c r="M6" s="24">
        <f>if(count(Actuals!M$4:M$76) =0, 0,ROUND(IF(Actuals!M6="",L6,IF(Actuals!M6 &gt; L6,(0.2*(Actuals!M6-L6)+L6),(0.5*(L6+Actuals!M6)))),2))</f>
        <v>0</v>
      </c>
      <c r="N6" s="24">
        <f>if(count(Actuals!N$4:N$76) =0, 0,ROUND(IF(Actuals!N6="",M6,IF(Actuals!N6 &gt; M6,(0.2*(Actuals!N6-M6)+M6),(0.5*(M6+Actuals!N6)))),2))</f>
        <v>0</v>
      </c>
      <c r="O6" s="24">
        <f>if(count(Actuals!O$4:O$76) =0, 0,ROUND(IF(Actuals!O6="",N6,IF(Actuals!O6 &gt; N6,(0.2*(Actuals!O6-N6)+N6),(0.5*(N6+Actuals!O6)))),2))</f>
        <v>0</v>
      </c>
      <c r="P6" s="24">
        <f>if(count(Actuals!P$4:P$76) =0, 0,ROUND(IF(Actuals!P6="",O6,IF(Actuals!P6 &gt; O6,(0.2*(Actuals!P6-O6)+O6),(0.5*(O6+Actuals!P6)))),2))</f>
        <v>0</v>
      </c>
      <c r="Q6" s="24">
        <f>if(count(Actuals!Q$4:Q$76) =0, 0,ROUND(IF(Actuals!Q6="",P6,IF(Actuals!Q6 &gt; P6,(0.2*(Actuals!Q6-P6)+P6),(0.5*(P6+Actuals!Q6)))),2))</f>
        <v>0</v>
      </c>
      <c r="R6" s="24">
        <f>if(count(Actuals!R$4:R$65) =0, 0,ROUND(IF(Actuals!R6="",Q6,IF(Actuals!R6 &gt; Q6,(0.2*(Actuals!R6-Q6)+Q6),(0.5*(Q6+Actuals!R6)))),2))</f>
        <v>0</v>
      </c>
    </row>
    <row r="7">
      <c r="A7" s="13" t="s">
        <v>195</v>
      </c>
      <c r="B7" s="24">
        <v>47.4</v>
      </c>
      <c r="C7" s="24">
        <f>if(count(Actuals!C$4:C$76) =0, 0,ROUND(IF(Actuals!C7="",B7,IF(Actuals!C7 &gt; B7,(0.2*(Actuals!C7-B7)+B7),(0.5*(B7+Actuals!C7)))),2))</f>
        <v>47.4</v>
      </c>
      <c r="D7" s="24">
        <f>if(count(Actuals!D$4:D$76) =0, 0,ROUND(IF(Actuals!D7="",C7,IF(Actuals!D7 &gt; C7,(0.2*(Actuals!D7-C7)+C7),(0.5*(C7+Actuals!D7)))),2))</f>
        <v>47.4</v>
      </c>
      <c r="E7" s="24">
        <f>if(count(Actuals!E$4:E$76) =0, 0,ROUND(IF(Actuals!E7="",D7,IF(Actuals!E7 &gt; D7,(0.2*(Actuals!E7-D7)+D7),(0.5*(D7+Actuals!E7)))),2))</f>
        <v>47.4</v>
      </c>
      <c r="F7" s="24">
        <f>if(count(Actuals!F$4:F$76) =0, 0,ROUND(IF(Actuals!F7="",E7,IF(Actuals!F7 &gt; E7,(0.2*(Actuals!F7-E7)+E7),(0.5*(E7+Actuals!F7)))),2))</f>
        <v>47.4</v>
      </c>
      <c r="G7" s="24">
        <f>if(count(Actuals!G$4:G$76) =0, 0,ROUND(IF(Actuals!G7="",F7,IF(Actuals!G7 &gt; F7,(0.2*(Actuals!G7-F7)+F7),(0.5*(F7+Actuals!G7)))),2))</f>
        <v>47.4</v>
      </c>
      <c r="H7" s="24">
        <f>if(count(Actuals!H$4:H$76) =0, 0,ROUND(IF(Actuals!H7="",G7,IF(Actuals!H7 &gt; G7,(0.2*(Actuals!H7-G7)+G7),(0.5*(G7+Actuals!H7)))),2))</f>
        <v>47.4</v>
      </c>
      <c r="I7" s="24">
        <f>if(count(Actuals!I$4:I$76) =0, 0,ROUND(IF(Actuals!I7="",H7,IF(Actuals!I7 &gt; H7,(0.2*(Actuals!I7-H7)+H7),(0.5*(H7+Actuals!I7)))),2))</f>
        <v>47.4</v>
      </c>
      <c r="J7" s="24">
        <f>if(count(Actuals!J$4:J$76) =0, 0,ROUND(IF(Actuals!J7="",I7,IF(Actuals!J7 &gt; I7,(0.2*(Actuals!J7-I7)+I7),(0.5*(I7+Actuals!J7)))),2))</f>
        <v>47.4</v>
      </c>
      <c r="K7" s="24">
        <f>if(count(Actuals!K$4:K$76) =0, 0,ROUND(IF(Actuals!K7="",J7,IF(Actuals!K7 &gt; J7,(0.2*(Actuals!K7-J7)+J7),(0.5*(J7+Actuals!K7)))),2))</f>
        <v>47.4</v>
      </c>
      <c r="L7" s="24">
        <f>if(count(Actuals!L$4:L$76) =0, 0,ROUND(IF(Actuals!L7="",K7,IF(Actuals!L7 &gt; K7,(0.2*(Actuals!L7-K7)+K7),(0.5*(K7+Actuals!L7)))),2))</f>
        <v>47.4</v>
      </c>
      <c r="M7" s="24">
        <f>if(count(Actuals!M$4:M$76) =0, 0,ROUND(IF(Actuals!M7="",L7,IF(Actuals!M7 &gt; L7,(0.2*(Actuals!M7-L7)+L7),(0.5*(L7+Actuals!M7)))),2))</f>
        <v>47.4</v>
      </c>
      <c r="N7" s="24">
        <f>if(count(Actuals!N$4:N$76) =0, 0,ROUND(IF(Actuals!N7="",M7,IF(Actuals!N7 &gt; M7,(0.2*(Actuals!N7-M7)+M7),(0.5*(M7+Actuals!N7)))),2))</f>
        <v>47.4</v>
      </c>
      <c r="O7" s="24">
        <f>if(count(Actuals!O$4:O$76) =0, 0,ROUND(IF(Actuals!O7="",N7,IF(Actuals!O7 &gt; N7,(0.2*(Actuals!O7-N7)+N7),(0.5*(N7+Actuals!O7)))),2))</f>
        <v>47.4</v>
      </c>
      <c r="P7" s="24">
        <f>if(count(Actuals!P$4:P$76) =0, 0,ROUND(IF(Actuals!P7="",O7,IF(Actuals!P7 &gt; O7,(0.2*(Actuals!P7-O7)+O7),(0.5*(O7+Actuals!P7)))),2))</f>
        <v>47.4</v>
      </c>
      <c r="Q7" s="24">
        <f>if(count(Actuals!Q$4:Q$76) =0, 0,ROUND(IF(Actuals!Q7="",P7,IF(Actuals!Q7 &gt; P7,(0.2*(Actuals!Q7-P7)+P7),(0.5*(P7+Actuals!Q7)))),2))</f>
        <v>47.4</v>
      </c>
      <c r="R7" s="24">
        <f>if(count(Actuals!R$4:R$65) =0, 0,ROUND(IF(Actuals!R7="",Q7,IF(Actuals!R7 &gt; Q7,(0.2*(Actuals!R7-Q7)+Q7),(0.5*(Q7+Actuals!R7)))),2))</f>
        <v>0</v>
      </c>
    </row>
    <row r="8">
      <c r="A8" s="13" t="s">
        <v>53</v>
      </c>
      <c r="B8" s="24">
        <v>42.29</v>
      </c>
      <c r="C8" s="24">
        <f>if(count(Actuals!C$4:C$76) =0, 0,ROUND(IF(Actuals!C8="",B8,IF(Actuals!C8 &gt; B8,(0.2*(Actuals!C8-B8)+B8),(0.5*(B8+Actuals!C8)))),2))</f>
        <v>40.65</v>
      </c>
      <c r="D8" s="24">
        <f>if(count(Actuals!D$4:D$76) =0, 0,ROUND(IF(Actuals!D8="",C8,IF(Actuals!D8 &gt; C8,(0.2*(Actuals!D8-C8)+C8),(0.5*(C8+Actuals!D8)))),2))</f>
        <v>39.83</v>
      </c>
      <c r="E8" s="24">
        <f>if(count(Actuals!E$4:E$76) =0, 0,ROUND(IF(Actuals!E8="",D8,IF(Actuals!E8 &gt; D8,(0.2*(Actuals!E8-D8)+D8),(0.5*(D8+Actuals!E8)))),2))</f>
        <v>40.26</v>
      </c>
      <c r="F8" s="24">
        <f>if(count(Actuals!F$4:F$76) =0, 0,ROUND(IF(Actuals!F8="",E8,IF(Actuals!F8 &gt; E8,(0.2*(Actuals!F8-E8)+E8),(0.5*(E8+Actuals!F8)))),2))</f>
        <v>40.26</v>
      </c>
      <c r="G8" s="24">
        <f>if(count(Actuals!G$4:G$76) =0, 0,ROUND(IF(Actuals!G8="",F8,IF(Actuals!G8 &gt; F8,(0.2*(Actuals!G8-F8)+F8),(0.5*(F8+Actuals!G8)))),2))</f>
        <v>40.26</v>
      </c>
      <c r="H8" s="24">
        <f>if(count(Actuals!H$4:H$76) =0, 0,ROUND(IF(Actuals!H8="",G8,IF(Actuals!H8 &gt; G8,(0.2*(Actuals!H8-G8)+G8),(0.5*(G8+Actuals!H8)))),2))</f>
        <v>40.26</v>
      </c>
      <c r="I8" s="24">
        <f>if(count(Actuals!I$4:I$76) =0, 0,ROUND(IF(Actuals!I8="",H8,IF(Actuals!I8 &gt; H8,(0.2*(Actuals!I8-H8)+H8),(0.5*(H8+Actuals!I8)))),2))</f>
        <v>40.26</v>
      </c>
      <c r="J8" s="24">
        <f>if(count(Actuals!J$4:J$76) =0, 0,ROUND(IF(Actuals!J8="",I8,IF(Actuals!J8 &gt; I8,(0.2*(Actuals!J8-I8)+I8),(0.5*(I8+Actuals!J8)))),2))</f>
        <v>40.26</v>
      </c>
      <c r="K8" s="24">
        <f>if(count(Actuals!K$4:K$76) =0, 0,ROUND(IF(Actuals!K8="",J8,IF(Actuals!K8 &gt; J8,(0.2*(Actuals!K8-J8)+J8),(0.5*(J8+Actuals!K8)))),2))</f>
        <v>40.26</v>
      </c>
      <c r="L8" s="24">
        <f>if(count(Actuals!L$4:L$76) =0, 0,ROUND(IF(Actuals!L8="",K8,IF(Actuals!L8 &gt; K8,(0.2*(Actuals!L8-K8)+K8),(0.5*(K8+Actuals!L8)))),2))</f>
        <v>40.26</v>
      </c>
      <c r="M8" s="24">
        <f>if(count(Actuals!M$4:M$76) =0, 0,ROUND(IF(Actuals!M8="",L8,IF(Actuals!M8 &gt; L8,(0.2*(Actuals!M8-L8)+L8),(0.5*(L8+Actuals!M8)))),2))</f>
        <v>40.26</v>
      </c>
      <c r="N8" s="24">
        <f>if(count(Actuals!N$4:N$76) =0, 0,ROUND(IF(Actuals!N8="",M8,IF(Actuals!N8 &gt; M8,(0.2*(Actuals!N8-M8)+M8),(0.5*(M8+Actuals!N8)))),2))</f>
        <v>40.26</v>
      </c>
      <c r="O8" s="24">
        <f>if(count(Actuals!O$4:O$76) =0, 0,ROUND(IF(Actuals!O8="",N8,IF(Actuals!O8 &gt; N8,(0.2*(Actuals!O8-N8)+N8),(0.5*(N8+Actuals!O8)))),2))</f>
        <v>40.26</v>
      </c>
      <c r="P8" s="24">
        <f>if(count(Actuals!P$4:P$76) =0, 0,ROUND(IF(Actuals!P8="",O8,IF(Actuals!P8 &gt; O8,(0.2*(Actuals!P8-O8)+O8),(0.5*(O8+Actuals!P8)))),2))</f>
        <v>40.26</v>
      </c>
      <c r="Q8" s="24">
        <f>if(count(Actuals!Q$4:Q$76) =0, 0,ROUND(IF(Actuals!Q8="",P8,IF(Actuals!Q8 &gt; P8,(0.2*(Actuals!Q8-P8)+P8),(0.5*(P8+Actuals!Q8)))),2))</f>
        <v>40.26</v>
      </c>
      <c r="R8" s="24">
        <f>if(count(Actuals!R$4:R$65) =0, 0,ROUND(IF(Actuals!R8="",Q8,IF(Actuals!R8 &gt; Q8,(0.2*(Actuals!R8-Q8)+Q8),(0.5*(Q8+Actuals!R8)))),2))</f>
        <v>0</v>
      </c>
    </row>
    <row r="9">
      <c r="A9" s="13" t="s">
        <v>196</v>
      </c>
      <c r="B9" s="24">
        <v>50.96</v>
      </c>
      <c r="C9" s="24">
        <f>if(count(Actuals!C$4:C$76) =0, 0,ROUND(IF(Actuals!C9="",B9,IF(Actuals!C9 &gt; B9,(0.2*(Actuals!C9-B9)+B9),(0.5*(B9+Actuals!C9)))),2))</f>
        <v>50.97</v>
      </c>
      <c r="D9" s="24">
        <f>if(count(Actuals!D$4:D$76) =0, 0,ROUND(IF(Actuals!D9="",C9,IF(Actuals!D9 &gt; C9,(0.2*(Actuals!D9-C9)+C9),(0.5*(C9+Actuals!D9)))),2))</f>
        <v>50.97</v>
      </c>
      <c r="E9" s="24">
        <f>if(count(Actuals!E$4:E$76) =0, 0,ROUND(IF(Actuals!E9="",D9,IF(Actuals!E9 &gt; D9,(0.2*(Actuals!E9-D9)+D9),(0.5*(D9+Actuals!E9)))),2))</f>
        <v>50.97</v>
      </c>
      <c r="F9" s="24">
        <f>if(count(Actuals!F$4:F$76) =0, 0,ROUND(IF(Actuals!F9="",E9,IF(Actuals!F9 &gt; E9,(0.2*(Actuals!F9-E9)+E9),(0.5*(E9+Actuals!F9)))),2))</f>
        <v>50.97</v>
      </c>
      <c r="G9" s="24">
        <f>if(count(Actuals!G$4:G$76) =0, 0,ROUND(IF(Actuals!G9="",F9,IF(Actuals!G9 &gt; F9,(0.2*(Actuals!G9-F9)+F9),(0.5*(F9+Actuals!G9)))),2))</f>
        <v>50.97</v>
      </c>
      <c r="H9" s="24">
        <f>if(count(Actuals!H$4:H$76) =0, 0,ROUND(IF(Actuals!H9="",G9,IF(Actuals!H9 &gt; G9,(0.2*(Actuals!H9-G9)+G9),(0.5*(G9+Actuals!H9)))),2))</f>
        <v>50.97</v>
      </c>
      <c r="I9" s="24">
        <f>if(count(Actuals!I$4:I$76) =0, 0,ROUND(IF(Actuals!I9="",H9,IF(Actuals!I9 &gt; H9,(0.2*(Actuals!I9-H9)+H9),(0.5*(H9+Actuals!I9)))),2))</f>
        <v>50.97</v>
      </c>
      <c r="J9" s="24">
        <f>if(count(Actuals!J$4:J$76) =0, 0,ROUND(IF(Actuals!J9="",I9,IF(Actuals!J9 &gt; I9,(0.2*(Actuals!J9-I9)+I9),(0.5*(I9+Actuals!J9)))),2))</f>
        <v>50.97</v>
      </c>
      <c r="K9" s="24">
        <f>if(count(Actuals!K$4:K$76) =0, 0,ROUND(IF(Actuals!K9="",J9,IF(Actuals!K9 &gt; J9,(0.2*(Actuals!K9-J9)+J9),(0.5*(J9+Actuals!K9)))),2))</f>
        <v>50.97</v>
      </c>
      <c r="L9" s="24">
        <f>if(count(Actuals!L$4:L$76) =0, 0,ROUND(IF(Actuals!L9="",K9,IF(Actuals!L9 &gt; K9,(0.2*(Actuals!L9-K9)+K9),(0.5*(K9+Actuals!L9)))),2))</f>
        <v>50.97</v>
      </c>
      <c r="M9" s="24">
        <f>if(count(Actuals!M$4:M$76) =0, 0,ROUND(IF(Actuals!M9="",L9,IF(Actuals!M9 &gt; L9,(0.2*(Actuals!M9-L9)+L9),(0.5*(L9+Actuals!M9)))),2))</f>
        <v>50.97</v>
      </c>
      <c r="N9" s="24">
        <f>if(count(Actuals!N$4:N$76) =0, 0,ROUND(IF(Actuals!N9="",M9,IF(Actuals!N9 &gt; M9,(0.2*(Actuals!N9-M9)+M9),(0.5*(M9+Actuals!N9)))),2))</f>
        <v>50.97</v>
      </c>
      <c r="O9" s="24">
        <f>if(count(Actuals!O$4:O$76) =0, 0,ROUND(IF(Actuals!O9="",N9,IF(Actuals!O9 &gt; N9,(0.2*(Actuals!O9-N9)+N9),(0.5*(N9+Actuals!O9)))),2))</f>
        <v>50.97</v>
      </c>
      <c r="P9" s="24">
        <f>if(count(Actuals!P$4:P$76) =0, 0,ROUND(IF(Actuals!P9="",O9,IF(Actuals!P9 &gt; O9,(0.2*(Actuals!P9-O9)+O9),(0.5*(O9+Actuals!P9)))),2))</f>
        <v>50.97</v>
      </c>
      <c r="Q9" s="24">
        <f>if(count(Actuals!Q$4:Q$76) =0, 0,ROUND(IF(Actuals!Q9="",P9,IF(Actuals!Q9 &gt; P9,(0.2*(Actuals!Q9-P9)+P9),(0.5*(P9+Actuals!Q9)))),2))</f>
        <v>50.97</v>
      </c>
      <c r="R9" s="24">
        <f>if(count(Actuals!R$4:R$65) =0, 0,ROUND(IF(Actuals!R9="",Q9,IF(Actuals!R9 &gt; Q9,(0.2*(Actuals!R9-Q9)+Q9),(0.5*(Q9+Actuals!R9)))),2))</f>
        <v>0</v>
      </c>
    </row>
    <row r="10">
      <c r="A10" s="13" t="s">
        <v>197</v>
      </c>
      <c r="B10" s="24">
        <v>39.32</v>
      </c>
      <c r="C10" s="24">
        <f>if(count(Actuals!C$4:C$76) =0, 0,ROUND(IF(Actuals!C10="",B10,IF(Actuals!C10 &gt; B10,(0.2*(Actuals!C10-B10)+B10),(0.5*(B10+Actuals!C10)))),2))</f>
        <v>39.32</v>
      </c>
      <c r="D10" s="24">
        <f>if(count(Actuals!D$4:D$76) =0, 0,ROUND(IF(Actuals!D10="",C10,IF(Actuals!D10 &gt; C10,(0.2*(Actuals!D10-C10)+C10),(0.5*(C10+Actuals!D10)))),2))</f>
        <v>39.32</v>
      </c>
      <c r="E10" s="24">
        <f>if(count(Actuals!E$4:E$76) =0, 0,ROUND(IF(Actuals!E10="",D10,IF(Actuals!E10 &gt; D10,(0.2*(Actuals!E10-D10)+D10),(0.5*(D10+Actuals!E10)))),2))</f>
        <v>39.32</v>
      </c>
      <c r="F10" s="24">
        <f>if(count(Actuals!F$4:F$76) =0, 0,ROUND(IF(Actuals!F10="",E10,IF(Actuals!F10 &gt; E10,(0.2*(Actuals!F10-E10)+E10),(0.5*(E10+Actuals!F10)))),2))</f>
        <v>39.32</v>
      </c>
      <c r="G10" s="24">
        <f>if(count(Actuals!G$4:G$76) =0, 0,ROUND(IF(Actuals!G10="",F10,IF(Actuals!G10 &gt; F10,(0.2*(Actuals!G10-F10)+F10),(0.5*(F10+Actuals!G10)))),2))</f>
        <v>39.32</v>
      </c>
      <c r="H10" s="24">
        <f>if(count(Actuals!H$4:H$76) =0, 0,ROUND(IF(Actuals!H10="",G10,IF(Actuals!H10 &gt; G10,(0.2*(Actuals!H10-G10)+G10),(0.5*(G10+Actuals!H10)))),2))</f>
        <v>39.32</v>
      </c>
      <c r="I10" s="24">
        <f>if(count(Actuals!I$4:I$76) =0, 0,ROUND(IF(Actuals!I10="",H10,IF(Actuals!I10 &gt; H10,(0.2*(Actuals!I10-H10)+H10),(0.5*(H10+Actuals!I10)))),2))</f>
        <v>39.32</v>
      </c>
      <c r="J10" s="24">
        <f>if(count(Actuals!J$4:J$76) =0, 0,ROUND(IF(Actuals!J10="",I10,IF(Actuals!J10 &gt; I10,(0.2*(Actuals!J10-I10)+I10),(0.5*(I10+Actuals!J10)))),2))</f>
        <v>39.32</v>
      </c>
      <c r="K10" s="24">
        <f>if(count(Actuals!K$4:K$76) =0, 0,ROUND(IF(Actuals!K10="",J10,IF(Actuals!K10 &gt; J10,(0.2*(Actuals!K10-J10)+J10),(0.5*(J10+Actuals!K10)))),2))</f>
        <v>39.32</v>
      </c>
      <c r="L10" s="24">
        <f>if(count(Actuals!L$4:L$76) =0, 0,ROUND(IF(Actuals!L10="",K10,IF(Actuals!L10 &gt; K10,(0.2*(Actuals!L10-K10)+K10),(0.5*(K10+Actuals!L10)))),2))</f>
        <v>39.32</v>
      </c>
      <c r="M10" s="24">
        <f>if(count(Actuals!M$4:M$76) =0, 0,ROUND(IF(Actuals!M10="",L10,IF(Actuals!M10 &gt; L10,(0.2*(Actuals!M10-L10)+L10),(0.5*(L10+Actuals!M10)))),2))</f>
        <v>39.32</v>
      </c>
      <c r="N10" s="24">
        <f>if(count(Actuals!N$4:N$76) =0, 0,ROUND(IF(Actuals!N10="",M10,IF(Actuals!N10 &gt; M10,(0.2*(Actuals!N10-M10)+M10),(0.5*(M10+Actuals!N10)))),2))</f>
        <v>39.32</v>
      </c>
      <c r="O10" s="24">
        <f>if(count(Actuals!O$4:O$76) =0, 0,ROUND(IF(Actuals!O10="",N10,IF(Actuals!O10 &gt; N10,(0.2*(Actuals!O10-N10)+N10),(0.5*(N10+Actuals!O10)))),2))</f>
        <v>39.32</v>
      </c>
      <c r="P10" s="24">
        <f>if(count(Actuals!P$4:P$76) =0, 0,ROUND(IF(Actuals!P10="",O10,IF(Actuals!P10 &gt; O10,(0.2*(Actuals!P10-O10)+O10),(0.5*(O10+Actuals!P10)))),2))</f>
        <v>39.32</v>
      </c>
      <c r="Q10" s="24">
        <f>if(count(Actuals!Q$4:Q$76) =0, 0,ROUND(IF(Actuals!Q10="",P10,IF(Actuals!Q10 &gt; P10,(0.2*(Actuals!Q10-P10)+P10),(0.5*(P10+Actuals!Q10)))),2))</f>
        <v>39.32</v>
      </c>
      <c r="R10" s="24">
        <f>if(count(Actuals!R$4:R$65) =0, 0,ROUND(IF(Actuals!R10="",Q10,IF(Actuals!R10 &gt; Q10,(0.2*(Actuals!R10-Q10)+Q10),(0.5*(Q10+Actuals!R10)))),2))</f>
        <v>0</v>
      </c>
    </row>
    <row r="11">
      <c r="A11" s="13" t="s">
        <v>198</v>
      </c>
      <c r="B11" s="24">
        <v>38.74</v>
      </c>
      <c r="C11" s="24">
        <f>if(count(Actuals!C$4:C$76) =0, 0,ROUND(IF(Actuals!C11="",B11,IF(Actuals!C11 &gt; B11,(0.2*(Actuals!C11-B11)+B11),(0.5*(B11+Actuals!C11)))),2))</f>
        <v>38.74</v>
      </c>
      <c r="D11" s="24">
        <f>if(count(Actuals!D$4:D$76) =0, 0,ROUND(IF(Actuals!D11="",C11,IF(Actuals!D11 &gt; C11,(0.2*(Actuals!D11-C11)+C11),(0.5*(C11+Actuals!D11)))),2))</f>
        <v>38.74</v>
      </c>
      <c r="E11" s="24">
        <f>if(count(Actuals!E$4:E$76) =0, 0,ROUND(IF(Actuals!E11="",D11,IF(Actuals!E11 &gt; D11,(0.2*(Actuals!E11-D11)+D11),(0.5*(D11+Actuals!E11)))),2))</f>
        <v>38.74</v>
      </c>
      <c r="F11" s="24">
        <f>if(count(Actuals!F$4:F$76) =0, 0,ROUND(IF(Actuals!F11="",E11,IF(Actuals!F11 &gt; E11,(0.2*(Actuals!F11-E11)+E11),(0.5*(E11+Actuals!F11)))),2))</f>
        <v>38.74</v>
      </c>
      <c r="G11" s="24">
        <f>if(count(Actuals!G$4:G$76) =0, 0,ROUND(IF(Actuals!G11="",F11,IF(Actuals!G11 &gt; F11,(0.2*(Actuals!G11-F11)+F11),(0.5*(F11+Actuals!G11)))),2))</f>
        <v>38.74</v>
      </c>
      <c r="H11" s="24">
        <f>if(count(Actuals!H$4:H$76) =0, 0,ROUND(IF(Actuals!H11="",G11,IF(Actuals!H11 &gt; G11,(0.2*(Actuals!H11-G11)+G11),(0.5*(G11+Actuals!H11)))),2))</f>
        <v>38.74</v>
      </c>
      <c r="I11" s="24">
        <f>if(count(Actuals!I$4:I$76) =0, 0,ROUND(IF(Actuals!I11="",H11,IF(Actuals!I11 &gt; H11,(0.2*(Actuals!I11-H11)+H11),(0.5*(H11+Actuals!I11)))),2))</f>
        <v>38.74</v>
      </c>
      <c r="J11" s="24">
        <f>if(count(Actuals!J$4:J$76) =0, 0,ROUND(IF(Actuals!J11="",I11,IF(Actuals!J11 &gt; I11,(0.2*(Actuals!J11-I11)+I11),(0.5*(I11+Actuals!J11)))),2))</f>
        <v>38.74</v>
      </c>
      <c r="K11" s="24">
        <f>if(count(Actuals!K$4:K$76) =0, 0,ROUND(IF(Actuals!K11="",J11,IF(Actuals!K11 &gt; J11,(0.2*(Actuals!K11-J11)+J11),(0.5*(J11+Actuals!K11)))),2))</f>
        <v>38.74</v>
      </c>
      <c r="L11" s="24">
        <f>if(count(Actuals!L$4:L$76) =0, 0,ROUND(IF(Actuals!L11="",K11,IF(Actuals!L11 &gt; K11,(0.2*(Actuals!L11-K11)+K11),(0.5*(K11+Actuals!L11)))),2))</f>
        <v>38.74</v>
      </c>
      <c r="M11" s="24">
        <f>if(count(Actuals!M$4:M$76) =0, 0,ROUND(IF(Actuals!M11="",L11,IF(Actuals!M11 &gt; L11,(0.2*(Actuals!M11-L11)+L11),(0.5*(L11+Actuals!M11)))),2))</f>
        <v>38.74</v>
      </c>
      <c r="N11" s="24">
        <f>if(count(Actuals!N$4:N$76) =0, 0,ROUND(IF(Actuals!N11="",M11,IF(Actuals!N11 &gt; M11,(0.2*(Actuals!N11-M11)+M11),(0.5*(M11+Actuals!N11)))),2))</f>
        <v>38.74</v>
      </c>
      <c r="O11" s="24">
        <f>if(count(Actuals!O$4:O$76) =0, 0,ROUND(IF(Actuals!O11="",N11,IF(Actuals!O11 &gt; N11,(0.2*(Actuals!O11-N11)+N11),(0.5*(N11+Actuals!O11)))),2))</f>
        <v>38.74</v>
      </c>
      <c r="P11" s="24">
        <f>if(count(Actuals!P$4:P$76) =0, 0,ROUND(IF(Actuals!P11="",O11,IF(Actuals!P11 &gt; O11,(0.2*(Actuals!P11-O11)+O11),(0.5*(O11+Actuals!P11)))),2))</f>
        <v>38.74</v>
      </c>
      <c r="Q11" s="24">
        <f>if(count(Actuals!Q$4:Q$76) =0, 0,ROUND(IF(Actuals!Q11="",P11,IF(Actuals!Q11 &gt; P11,(0.2*(Actuals!Q11-P11)+P11),(0.5*(P11+Actuals!Q11)))),2))</f>
        <v>38.74</v>
      </c>
      <c r="R11" s="24">
        <f>if(count(Actuals!R$4:R$65) =0, 0,ROUND(IF(Actuals!R11="",Q11,IF(Actuals!R11 &gt; Q11,(0.2*(Actuals!R11-Q11)+Q11),(0.5*(Q11+Actuals!R11)))),2))</f>
        <v>0</v>
      </c>
    </row>
    <row r="12">
      <c r="A12" s="13" t="s">
        <v>199</v>
      </c>
      <c r="B12" s="24">
        <v>43.95</v>
      </c>
      <c r="C12" s="24">
        <f>if(count(Actuals!C$4:C$76) =0, 0,ROUND(IF(Actuals!C12="",B12,IF(Actuals!C12 &gt; B12,(0.2*(Actuals!C12-B12)+B12),(0.5*(B12+Actuals!C12)))),2))</f>
        <v>43.95</v>
      </c>
      <c r="D12" s="24">
        <f>if(count(Actuals!D$4:D$76) =0, 0,ROUND(IF(Actuals!D12="",C12,IF(Actuals!D12 &gt; C12,(0.2*(Actuals!D12-C12)+C12),(0.5*(C12+Actuals!D12)))),2))</f>
        <v>43.95</v>
      </c>
      <c r="E12" s="24">
        <f>if(count(Actuals!E$4:E$76) =0, 0,ROUND(IF(Actuals!E12="",D12,IF(Actuals!E12 &gt; D12,(0.2*(Actuals!E12-D12)+D12),(0.5*(D12+Actuals!E12)))),2))</f>
        <v>45.56</v>
      </c>
      <c r="F12" s="24">
        <f>if(count(Actuals!F$4:F$76) =0, 0,ROUND(IF(Actuals!F12="",E12,IF(Actuals!F12 &gt; E12,(0.2*(Actuals!F12-E12)+E12),(0.5*(E12+Actuals!F12)))),2))</f>
        <v>45.56</v>
      </c>
      <c r="G12" s="24">
        <f>if(count(Actuals!G$4:G$76) =0, 0,ROUND(IF(Actuals!G12="",F12,IF(Actuals!G12 &gt; F12,(0.2*(Actuals!G12-F12)+F12),(0.5*(F12+Actuals!G12)))),2))</f>
        <v>45.56</v>
      </c>
      <c r="H12" s="24">
        <f>if(count(Actuals!H$4:H$76) =0, 0,ROUND(IF(Actuals!H12="",G12,IF(Actuals!H12 &gt; G12,(0.2*(Actuals!H12-G12)+G12),(0.5*(G12+Actuals!H12)))),2))</f>
        <v>45.56</v>
      </c>
      <c r="I12" s="24">
        <f>if(count(Actuals!I$4:I$76) =0, 0,ROUND(IF(Actuals!I12="",H12,IF(Actuals!I12 &gt; H12,(0.2*(Actuals!I12-H12)+H12),(0.5*(H12+Actuals!I12)))),2))</f>
        <v>45.56</v>
      </c>
      <c r="J12" s="24">
        <f>if(count(Actuals!J$4:J$76) =0, 0,ROUND(IF(Actuals!J12="",I12,IF(Actuals!J12 &gt; I12,(0.2*(Actuals!J12-I12)+I12),(0.5*(I12+Actuals!J12)))),2))</f>
        <v>45.56</v>
      </c>
      <c r="K12" s="24">
        <f>if(count(Actuals!K$4:K$76) =0, 0,ROUND(IF(Actuals!K12="",J12,IF(Actuals!K12 &gt; J12,(0.2*(Actuals!K12-J12)+J12),(0.5*(J12+Actuals!K12)))),2))</f>
        <v>45.56</v>
      </c>
      <c r="L12" s="24">
        <f>if(count(Actuals!L$4:L$76) =0, 0,ROUND(IF(Actuals!L12="",K12,IF(Actuals!L12 &gt; K12,(0.2*(Actuals!L12-K12)+K12),(0.5*(K12+Actuals!L12)))),2))</f>
        <v>45.56</v>
      </c>
      <c r="M12" s="24">
        <f>if(count(Actuals!M$4:M$76) =0, 0,ROUND(IF(Actuals!M12="",L12,IF(Actuals!M12 &gt; L12,(0.2*(Actuals!M12-L12)+L12),(0.5*(L12+Actuals!M12)))),2))</f>
        <v>45.56</v>
      </c>
      <c r="N12" s="24">
        <f>if(count(Actuals!N$4:N$76) =0, 0,ROUND(IF(Actuals!N12="",M12,IF(Actuals!N12 &gt; M12,(0.2*(Actuals!N12-M12)+M12),(0.5*(M12+Actuals!N12)))),2))</f>
        <v>45.56</v>
      </c>
      <c r="O12" s="24">
        <f>if(count(Actuals!O$4:O$76) =0, 0,ROUND(IF(Actuals!O12="",N12,IF(Actuals!O12 &gt; N12,(0.2*(Actuals!O12-N12)+N12),(0.5*(N12+Actuals!O12)))),2))</f>
        <v>45.56</v>
      </c>
      <c r="P12" s="24">
        <f>if(count(Actuals!P$4:P$76) =0, 0,ROUND(IF(Actuals!P12="",O12,IF(Actuals!P12 &gt; O12,(0.2*(Actuals!P12-O12)+O12),(0.5*(O12+Actuals!P12)))),2))</f>
        <v>45.56</v>
      </c>
      <c r="Q12" s="24">
        <f>if(count(Actuals!Q$4:Q$76) =0, 0,ROUND(IF(Actuals!Q12="",P12,IF(Actuals!Q12 &gt; P12,(0.2*(Actuals!Q12-P12)+P12),(0.5*(P12+Actuals!Q12)))),2))</f>
        <v>45.56</v>
      </c>
      <c r="R12" s="24">
        <f>if(count(Actuals!R$4:R$65) =0, 0,ROUND(IF(Actuals!R12="",Q12,IF(Actuals!R12 &gt; Q12,(0.2*(Actuals!R12-Q12)+Q12),(0.5*(Q12+Actuals!R12)))),2))</f>
        <v>0</v>
      </c>
    </row>
    <row r="13">
      <c r="A13" s="13" t="s">
        <v>200</v>
      </c>
      <c r="B13" s="24">
        <v>0.0</v>
      </c>
      <c r="C13" s="24">
        <f>if(count(Actuals!C$4:C$76) =0, 0,ROUND(IF(Actuals!C13="",B13,IF(Actuals!C13 &gt; B13,(0.2*(Actuals!C13-B13)+B13),(0.5*(B13+Actuals!C13)))),2))</f>
        <v>0</v>
      </c>
      <c r="D13" s="24">
        <f>if(count(Actuals!D$4:D$76) =0, 0,ROUND(IF(Actuals!D13="",C13,IF(Actuals!D13 &gt; C13,(0.2*(Actuals!D13-C13)+C13),(0.5*(C13+Actuals!D13)))),2))</f>
        <v>0</v>
      </c>
      <c r="E13" s="24">
        <f>if(count(Actuals!E$4:E$76) =0, 0,ROUND(IF(Actuals!E13="",D13,IF(Actuals!E13 &gt; D13,(0.2*(Actuals!E13-D13)+D13),(0.5*(D13+Actuals!E13)))),2))</f>
        <v>0</v>
      </c>
      <c r="F13" s="24">
        <f>if(count(Actuals!F$4:F$76) =0, 0,ROUND(IF(Actuals!F13="",E13,IF(Actuals!F13 &gt; E13,(0.2*(Actuals!F13-E13)+E13),(0.5*(E13+Actuals!F13)))),2))</f>
        <v>0</v>
      </c>
      <c r="G13" s="24">
        <f>if(count(Actuals!G$4:G$76) =0, 0,ROUND(IF(Actuals!G13="",F13,IF(Actuals!G13 &gt; F13,(0.2*(Actuals!G13-F13)+F13),(0.5*(F13+Actuals!G13)))),2))</f>
        <v>0</v>
      </c>
      <c r="H13" s="24">
        <f>if(count(Actuals!H$4:H$76) =0, 0,ROUND(IF(Actuals!H13="",G13,IF(Actuals!H13 &gt; G13,(0.2*(Actuals!H13-G13)+G13),(0.5*(G13+Actuals!H13)))),2))</f>
        <v>0</v>
      </c>
      <c r="I13" s="24">
        <f>if(count(Actuals!I$4:I$76) =0, 0,ROUND(IF(Actuals!I13="",H13,IF(Actuals!I13 &gt; H13,(0.2*(Actuals!I13-H13)+H13),(0.5*(H13+Actuals!I13)))),2))</f>
        <v>0</v>
      </c>
      <c r="J13" s="24">
        <f>if(count(Actuals!J$4:J$76) =0, 0,ROUND(IF(Actuals!J13="",I13,IF(Actuals!J13 &gt; I13,(0.2*(Actuals!J13-I13)+I13),(0.5*(I13+Actuals!J13)))),2))</f>
        <v>0</v>
      </c>
      <c r="K13" s="24">
        <f>if(count(Actuals!K$4:K$76) =0, 0,ROUND(IF(Actuals!K13="",J13,IF(Actuals!K13 &gt; J13,(0.2*(Actuals!K13-J13)+J13),(0.5*(J13+Actuals!K13)))),2))</f>
        <v>0</v>
      </c>
      <c r="L13" s="24">
        <f>if(count(Actuals!L$4:L$76) =0, 0,ROUND(IF(Actuals!L13="",K13,IF(Actuals!L13 &gt; K13,(0.2*(Actuals!L13-K13)+K13),(0.5*(K13+Actuals!L13)))),2))</f>
        <v>0</v>
      </c>
      <c r="M13" s="24">
        <f>if(count(Actuals!M$4:M$76) =0, 0,ROUND(IF(Actuals!M13="",L13,IF(Actuals!M13 &gt; L13,(0.2*(Actuals!M13-L13)+L13),(0.5*(L13+Actuals!M13)))),2))</f>
        <v>0</v>
      </c>
      <c r="N13" s="24">
        <f>if(count(Actuals!N$4:N$76) =0, 0,ROUND(IF(Actuals!N13="",M13,IF(Actuals!N13 &gt; M13,(0.2*(Actuals!N13-M13)+M13),(0.5*(M13+Actuals!N13)))),2))</f>
        <v>0</v>
      </c>
      <c r="O13" s="24">
        <f>if(count(Actuals!O$4:O$76) =0, 0,ROUND(IF(Actuals!O13="",N13,IF(Actuals!O13 &gt; N13,(0.2*(Actuals!O13-N13)+N13),(0.5*(N13+Actuals!O13)))),2))</f>
        <v>0</v>
      </c>
      <c r="P13" s="24">
        <f>if(count(Actuals!P$4:P$76) =0, 0,ROUND(IF(Actuals!P13="",O13,IF(Actuals!P13 &gt; O13,(0.2*(Actuals!P13-O13)+O13),(0.5*(O13+Actuals!P13)))),2))</f>
        <v>0</v>
      </c>
      <c r="Q13" s="24">
        <f>if(count(Actuals!Q$4:Q$76) =0, 0,ROUND(IF(Actuals!Q13="",P13,IF(Actuals!Q13 &gt; P13,(0.2*(Actuals!Q13-P13)+P13),(0.5*(P13+Actuals!Q13)))),2))</f>
        <v>0</v>
      </c>
      <c r="R13" s="24">
        <f>if(count(Actuals!R$4:R$65) =0, 0,ROUND(IF(Actuals!R13="",Q13,IF(Actuals!R13 &gt; Q13,(0.2*(Actuals!R13-Q13)+Q13),(0.5*(Q13+Actuals!R13)))),2))</f>
        <v>0</v>
      </c>
    </row>
    <row r="14">
      <c r="A14" s="13" t="s">
        <v>201</v>
      </c>
      <c r="B14" s="24">
        <v>51.0</v>
      </c>
      <c r="C14" s="24">
        <f>if(count(Actuals!C$4:C$76) =0, 0,ROUND(IF(Actuals!C14="",B14,IF(Actuals!C14 &gt; B14,(0.2*(Actuals!C14-B14)+B14),(0.5*(B14+Actuals!C14)))),2))</f>
        <v>51</v>
      </c>
      <c r="D14" s="24">
        <f>if(count(Actuals!D$4:D$76) =0, 0,ROUND(IF(Actuals!D14="",C14,IF(Actuals!D14 &gt; C14,(0.2*(Actuals!D14-C14)+C14),(0.5*(C14+Actuals!D14)))),2))</f>
        <v>51</v>
      </c>
      <c r="E14" s="24">
        <f>if(count(Actuals!E$4:E$76) =0, 0,ROUND(IF(Actuals!E14="",D14,IF(Actuals!E14 &gt; D14,(0.2*(Actuals!E14-D14)+D14),(0.5*(D14+Actuals!E14)))),2))</f>
        <v>51</v>
      </c>
      <c r="F14" s="24">
        <f>if(count(Actuals!F$4:F$76) =0, 0,ROUND(IF(Actuals!F14="",E14,IF(Actuals!F14 &gt; E14,(0.2*(Actuals!F14-E14)+E14),(0.5*(E14+Actuals!F14)))),2))</f>
        <v>51</v>
      </c>
      <c r="G14" s="24">
        <f>if(count(Actuals!G$4:G$76) =0, 0,ROUND(IF(Actuals!G14="",F14,IF(Actuals!G14 &gt; F14,(0.2*(Actuals!G14-F14)+F14),(0.5*(F14+Actuals!G14)))),2))</f>
        <v>51</v>
      </c>
      <c r="H14" s="24">
        <f>if(count(Actuals!H$4:H$76) =0, 0,ROUND(IF(Actuals!H14="",G14,IF(Actuals!H14 &gt; G14,(0.2*(Actuals!H14-G14)+G14),(0.5*(G14+Actuals!H14)))),2))</f>
        <v>51</v>
      </c>
      <c r="I14" s="24">
        <f>if(count(Actuals!I$4:I$76) =0, 0,ROUND(IF(Actuals!I14="",H14,IF(Actuals!I14 &gt; H14,(0.2*(Actuals!I14-H14)+H14),(0.5*(H14+Actuals!I14)))),2))</f>
        <v>51</v>
      </c>
      <c r="J14" s="24">
        <f>if(count(Actuals!J$4:J$76) =0, 0,ROUND(IF(Actuals!J14="",I14,IF(Actuals!J14 &gt; I14,(0.2*(Actuals!J14-I14)+I14),(0.5*(I14+Actuals!J14)))),2))</f>
        <v>51</v>
      </c>
      <c r="K14" s="24">
        <f>if(count(Actuals!K$4:K$76) =0, 0,ROUND(IF(Actuals!K14="",J14,IF(Actuals!K14 &gt; J14,(0.2*(Actuals!K14-J14)+J14),(0.5*(J14+Actuals!K14)))),2))</f>
        <v>51</v>
      </c>
      <c r="L14" s="24">
        <f>if(count(Actuals!L$4:L$76) =0, 0,ROUND(IF(Actuals!L14="",K14,IF(Actuals!L14 &gt; K14,(0.2*(Actuals!L14-K14)+K14),(0.5*(K14+Actuals!L14)))),2))</f>
        <v>51</v>
      </c>
      <c r="M14" s="24">
        <f>if(count(Actuals!M$4:M$76) =0, 0,ROUND(IF(Actuals!M14="",L14,IF(Actuals!M14 &gt; L14,(0.2*(Actuals!M14-L14)+L14),(0.5*(L14+Actuals!M14)))),2))</f>
        <v>51</v>
      </c>
      <c r="N14" s="24">
        <f>if(count(Actuals!N$4:N$76) =0, 0,ROUND(IF(Actuals!N14="",M14,IF(Actuals!N14 &gt; M14,(0.2*(Actuals!N14-M14)+M14),(0.5*(M14+Actuals!N14)))),2))</f>
        <v>51</v>
      </c>
      <c r="O14" s="24">
        <f>if(count(Actuals!O$4:O$76) =0, 0,ROUND(IF(Actuals!O14="",N14,IF(Actuals!O14 &gt; N14,(0.2*(Actuals!O14-N14)+N14),(0.5*(N14+Actuals!O14)))),2))</f>
        <v>51</v>
      </c>
      <c r="P14" s="24">
        <f>if(count(Actuals!P$4:P$76) =0, 0,ROUND(IF(Actuals!P14="",O14,IF(Actuals!P14 &gt; O14,(0.2*(Actuals!P14-O14)+O14),(0.5*(O14+Actuals!P14)))),2))</f>
        <v>51</v>
      </c>
      <c r="Q14" s="24">
        <f>if(count(Actuals!Q$4:Q$76) =0, 0,ROUND(IF(Actuals!Q14="",P14,IF(Actuals!Q14 &gt; P14,(0.2*(Actuals!Q14-P14)+P14),(0.5*(P14+Actuals!Q14)))),2))</f>
        <v>51</v>
      </c>
      <c r="R14" s="24">
        <f>if(count(Actuals!R$4:R$65) =0, 0,ROUND(IF(Actuals!R14="",Q14,IF(Actuals!R14 &gt; Q14,(0.2*(Actuals!R14-Q14)+Q14),(0.5*(Q14+Actuals!R14)))),2))</f>
        <v>0</v>
      </c>
    </row>
    <row r="15">
      <c r="A15" s="13" t="s">
        <v>202</v>
      </c>
      <c r="B15" s="24">
        <v>42.8</v>
      </c>
      <c r="C15" s="24">
        <f>if(count(Actuals!C$4:C$76) =0, 0,ROUND(IF(Actuals!C15="",B15,IF(Actuals!C15 &gt; B15,(0.2*(Actuals!C15-B15)+B15),(0.5*(B15+Actuals!C15)))),2))</f>
        <v>42.8</v>
      </c>
      <c r="D15" s="24">
        <f>if(count(Actuals!D$4:D$76) =0, 0,ROUND(IF(Actuals!D15="",C15,IF(Actuals!D15 &gt; C15,(0.2*(Actuals!D15-C15)+C15),(0.5*(C15+Actuals!D15)))),2))</f>
        <v>42.8</v>
      </c>
      <c r="E15" s="24">
        <f>if(count(Actuals!E$4:E$76) =0, 0,ROUND(IF(Actuals!E15="",D15,IF(Actuals!E15 &gt; D15,(0.2*(Actuals!E15-D15)+D15),(0.5*(D15+Actuals!E15)))),2))</f>
        <v>42.8</v>
      </c>
      <c r="F15" s="24">
        <f>if(count(Actuals!F$4:F$76) =0, 0,ROUND(IF(Actuals!F15="",E15,IF(Actuals!F15 &gt; E15,(0.2*(Actuals!F15-E15)+E15),(0.5*(E15+Actuals!F15)))),2))</f>
        <v>42.8</v>
      </c>
      <c r="G15" s="24">
        <f>if(count(Actuals!G$4:G$76) =0, 0,ROUND(IF(Actuals!G15="",F15,IF(Actuals!G15 &gt; F15,(0.2*(Actuals!G15-F15)+F15),(0.5*(F15+Actuals!G15)))),2))</f>
        <v>42.8</v>
      </c>
      <c r="H15" s="24">
        <f>if(count(Actuals!H$4:H$76) =0, 0,ROUND(IF(Actuals!H15="",G15,IF(Actuals!H15 &gt; G15,(0.2*(Actuals!H15-G15)+G15),(0.5*(G15+Actuals!H15)))),2))</f>
        <v>42.8</v>
      </c>
      <c r="I15" s="24">
        <f>if(count(Actuals!I$4:I$76) =0, 0,ROUND(IF(Actuals!I15="",H15,IF(Actuals!I15 &gt; H15,(0.2*(Actuals!I15-H15)+H15),(0.5*(H15+Actuals!I15)))),2))</f>
        <v>42.8</v>
      </c>
      <c r="J15" s="24">
        <f>if(count(Actuals!J$4:J$76) =0, 0,ROUND(IF(Actuals!J15="",I15,IF(Actuals!J15 &gt; I15,(0.2*(Actuals!J15-I15)+I15),(0.5*(I15+Actuals!J15)))),2))</f>
        <v>42.8</v>
      </c>
      <c r="K15" s="24">
        <f>if(count(Actuals!K$4:K$76) =0, 0,ROUND(IF(Actuals!K15="",J15,IF(Actuals!K15 &gt; J15,(0.2*(Actuals!K15-J15)+J15),(0.5*(J15+Actuals!K15)))),2))</f>
        <v>42.8</v>
      </c>
      <c r="L15" s="24">
        <f>if(count(Actuals!L$4:L$76) =0, 0,ROUND(IF(Actuals!L15="",K15,IF(Actuals!L15 &gt; K15,(0.2*(Actuals!L15-K15)+K15),(0.5*(K15+Actuals!L15)))),2))</f>
        <v>42.8</v>
      </c>
      <c r="M15" s="24">
        <f>if(count(Actuals!M$4:M$76) =0, 0,ROUND(IF(Actuals!M15="",L15,IF(Actuals!M15 &gt; L15,(0.2*(Actuals!M15-L15)+L15),(0.5*(L15+Actuals!M15)))),2))</f>
        <v>42.8</v>
      </c>
      <c r="N15" s="24">
        <f>if(count(Actuals!N$4:N$76) =0, 0,ROUND(IF(Actuals!N15="",M15,IF(Actuals!N15 &gt; M15,(0.2*(Actuals!N15-M15)+M15),(0.5*(M15+Actuals!N15)))),2))</f>
        <v>42.8</v>
      </c>
      <c r="O15" s="24">
        <f>if(count(Actuals!O$4:O$76) =0, 0,ROUND(IF(Actuals!O15="",N15,IF(Actuals!O15 &gt; N15,(0.2*(Actuals!O15-N15)+N15),(0.5*(N15+Actuals!O15)))),2))</f>
        <v>42.8</v>
      </c>
      <c r="P15" s="24">
        <f>if(count(Actuals!P$4:P$76) =0, 0,ROUND(IF(Actuals!P15="",O15,IF(Actuals!P15 &gt; O15,(0.2*(Actuals!P15-O15)+O15),(0.5*(O15+Actuals!P15)))),2))</f>
        <v>42.8</v>
      </c>
      <c r="Q15" s="24">
        <f>if(count(Actuals!Q$4:Q$76) =0, 0,ROUND(IF(Actuals!Q15="",P15,IF(Actuals!Q15 &gt; P15,(0.2*(Actuals!Q15-P15)+P15),(0.5*(P15+Actuals!Q15)))),2))</f>
        <v>42.8</v>
      </c>
      <c r="R15" s="24">
        <f>if(count(Actuals!R$4:R$65) =0, 0,ROUND(IF(Actuals!R15="",Q15,IF(Actuals!R15 &gt; Q15,(0.2*(Actuals!R15-Q15)+Q15),(0.5*(Q15+Actuals!R15)))),2))</f>
        <v>0</v>
      </c>
    </row>
    <row r="16">
      <c r="A16" s="13" t="s">
        <v>203</v>
      </c>
      <c r="B16" s="24">
        <v>39.69</v>
      </c>
      <c r="C16" s="24">
        <f>if(count(Actuals!C$4:C$76) =0, 0,ROUND(IF(Actuals!C16="",B16,IF(Actuals!C16 &gt; B16,(0.2*(Actuals!C16-B16)+B16),(0.5*(B16+Actuals!C16)))),2))</f>
        <v>39.69</v>
      </c>
      <c r="D16" s="24">
        <f>if(count(Actuals!D$4:D$76) =0, 0,ROUND(IF(Actuals!D16="",C16,IF(Actuals!D16 &gt; C16,(0.2*(Actuals!D16-C16)+C16),(0.5*(C16+Actuals!D16)))),2))</f>
        <v>39.69</v>
      </c>
      <c r="E16" s="24">
        <f>if(count(Actuals!E$4:E$76) =0, 0,ROUND(IF(Actuals!E16="",D16,IF(Actuals!E16 &gt; D16,(0.2*(Actuals!E16-D16)+D16),(0.5*(D16+Actuals!E16)))),2))</f>
        <v>39.69</v>
      </c>
      <c r="F16" s="24">
        <f>if(count(Actuals!F$4:F$76) =0, 0,ROUND(IF(Actuals!F16="",E16,IF(Actuals!F16 &gt; E16,(0.2*(Actuals!F16-E16)+E16),(0.5*(E16+Actuals!F16)))),2))</f>
        <v>39.69</v>
      </c>
      <c r="G16" s="24">
        <f>if(count(Actuals!G$4:G$76) =0, 0,ROUND(IF(Actuals!G16="",F16,IF(Actuals!G16 &gt; F16,(0.2*(Actuals!G16-F16)+F16),(0.5*(F16+Actuals!G16)))),2))</f>
        <v>39.69</v>
      </c>
      <c r="H16" s="24">
        <f>if(count(Actuals!H$4:H$76) =0, 0,ROUND(IF(Actuals!H16="",G16,IF(Actuals!H16 &gt; G16,(0.2*(Actuals!H16-G16)+G16),(0.5*(G16+Actuals!H16)))),2))</f>
        <v>39.69</v>
      </c>
      <c r="I16" s="24">
        <f>if(count(Actuals!I$4:I$76) =0, 0,ROUND(IF(Actuals!I16="",H16,IF(Actuals!I16 &gt; H16,(0.2*(Actuals!I16-H16)+H16),(0.5*(H16+Actuals!I16)))),2))</f>
        <v>39.69</v>
      </c>
      <c r="J16" s="24">
        <f>if(count(Actuals!J$4:J$76) =0, 0,ROUND(IF(Actuals!J16="",I16,IF(Actuals!J16 &gt; I16,(0.2*(Actuals!J16-I16)+I16),(0.5*(I16+Actuals!J16)))),2))</f>
        <v>39.69</v>
      </c>
      <c r="K16" s="24">
        <f>if(count(Actuals!K$4:K$76) =0, 0,ROUND(IF(Actuals!K16="",J16,IF(Actuals!K16 &gt; J16,(0.2*(Actuals!K16-J16)+J16),(0.5*(J16+Actuals!K16)))),2))</f>
        <v>39.69</v>
      </c>
      <c r="L16" s="24">
        <f>if(count(Actuals!L$4:L$76) =0, 0,ROUND(IF(Actuals!L16="",K16,IF(Actuals!L16 &gt; K16,(0.2*(Actuals!L16-K16)+K16),(0.5*(K16+Actuals!L16)))),2))</f>
        <v>39.69</v>
      </c>
      <c r="M16" s="24">
        <f>if(count(Actuals!M$4:M$76) =0, 0,ROUND(IF(Actuals!M16="",L16,IF(Actuals!M16 &gt; L16,(0.2*(Actuals!M16-L16)+L16),(0.5*(L16+Actuals!M16)))),2))</f>
        <v>39.69</v>
      </c>
      <c r="N16" s="24">
        <f>if(count(Actuals!N$4:N$76) =0, 0,ROUND(IF(Actuals!N16="",M16,IF(Actuals!N16 &gt; M16,(0.2*(Actuals!N16-M16)+M16),(0.5*(M16+Actuals!N16)))),2))</f>
        <v>39.69</v>
      </c>
      <c r="O16" s="24">
        <f>if(count(Actuals!O$4:O$76) =0, 0,ROUND(IF(Actuals!O16="",N16,IF(Actuals!O16 &gt; N16,(0.2*(Actuals!O16-N16)+N16),(0.5*(N16+Actuals!O16)))),2))</f>
        <v>39.69</v>
      </c>
      <c r="P16" s="24">
        <f>if(count(Actuals!P$4:P$76) =0, 0,ROUND(IF(Actuals!P16="",O16,IF(Actuals!P16 &gt; O16,(0.2*(Actuals!P16-O16)+O16),(0.5*(O16+Actuals!P16)))),2))</f>
        <v>39.69</v>
      </c>
      <c r="Q16" s="24">
        <f>if(count(Actuals!Q$4:Q$76) =0, 0,ROUND(IF(Actuals!Q16="",P16,IF(Actuals!Q16 &gt; P16,(0.2*(Actuals!Q16-P16)+P16),(0.5*(P16+Actuals!Q16)))),2))</f>
        <v>39.69</v>
      </c>
      <c r="R16" s="24">
        <f>if(count(Actuals!R$4:R$65) =0, 0,ROUND(IF(Actuals!R16="",Q16,IF(Actuals!R16 &gt; Q16,(0.2*(Actuals!R16-Q16)+Q16),(0.5*(Q16+Actuals!R16)))),2))</f>
        <v>0</v>
      </c>
    </row>
    <row r="17">
      <c r="A17" s="13" t="s">
        <v>204</v>
      </c>
      <c r="B17" s="24">
        <v>48.9</v>
      </c>
      <c r="C17" s="24">
        <f>if(count(Actuals!C$4:C$76) =0, 0,ROUND(IF(Actuals!C17="",B17,IF(Actuals!C17 &gt; B17,(0.2*(Actuals!C17-B17)+B17),(0.5*(B17+Actuals!C17)))),2))</f>
        <v>48.9</v>
      </c>
      <c r="D17" s="24">
        <f>if(count(Actuals!D$4:D$76) =0, 0,ROUND(IF(Actuals!D17="",C17,IF(Actuals!D17 &gt; C17,(0.2*(Actuals!D17-C17)+C17),(0.5*(C17+Actuals!D17)))),2))</f>
        <v>48.9</v>
      </c>
      <c r="E17" s="24">
        <f>if(count(Actuals!E$4:E$76) =0, 0,ROUND(IF(Actuals!E17="",D17,IF(Actuals!E17 &gt; D17,(0.2*(Actuals!E17-D17)+D17),(0.5*(D17+Actuals!E17)))),2))</f>
        <v>48.9</v>
      </c>
      <c r="F17" s="24">
        <f>if(count(Actuals!F$4:F$76) =0, 0,ROUND(IF(Actuals!F17="",E17,IF(Actuals!F17 &gt; E17,(0.2*(Actuals!F17-E17)+E17),(0.5*(E17+Actuals!F17)))),2))</f>
        <v>48.9</v>
      </c>
      <c r="G17" s="24">
        <f>if(count(Actuals!G$4:G$76) =0, 0,ROUND(IF(Actuals!G17="",F17,IF(Actuals!G17 &gt; F17,(0.2*(Actuals!G17-F17)+F17),(0.5*(F17+Actuals!G17)))),2))</f>
        <v>48.9</v>
      </c>
      <c r="H17" s="24">
        <f>if(count(Actuals!H$4:H$76) =0, 0,ROUND(IF(Actuals!H17="",G17,IF(Actuals!H17 &gt; G17,(0.2*(Actuals!H17-G17)+G17),(0.5*(G17+Actuals!H17)))),2))</f>
        <v>48.9</v>
      </c>
      <c r="I17" s="24">
        <f>if(count(Actuals!I$4:I$76) =0, 0,ROUND(IF(Actuals!I17="",H17,IF(Actuals!I17 &gt; H17,(0.2*(Actuals!I17-H17)+H17),(0.5*(H17+Actuals!I17)))),2))</f>
        <v>48.9</v>
      </c>
      <c r="J17" s="24">
        <f>if(count(Actuals!J$4:J$76) =0, 0,ROUND(IF(Actuals!J17="",I17,IF(Actuals!J17 &gt; I17,(0.2*(Actuals!J17-I17)+I17),(0.5*(I17+Actuals!J17)))),2))</f>
        <v>48.9</v>
      </c>
      <c r="K17" s="24">
        <f>if(count(Actuals!K$4:K$76) =0, 0,ROUND(IF(Actuals!K17="",J17,IF(Actuals!K17 &gt; J17,(0.2*(Actuals!K17-J17)+J17),(0.5*(J17+Actuals!K17)))),2))</f>
        <v>48.9</v>
      </c>
      <c r="L17" s="24">
        <f>if(count(Actuals!L$4:L$76) =0, 0,ROUND(IF(Actuals!L17="",K17,IF(Actuals!L17 &gt; K17,(0.2*(Actuals!L17-K17)+K17),(0.5*(K17+Actuals!L17)))),2))</f>
        <v>48.9</v>
      </c>
      <c r="M17" s="24">
        <f>if(count(Actuals!M$4:M$76) =0, 0,ROUND(IF(Actuals!M17="",L17,IF(Actuals!M17 &gt; L17,(0.2*(Actuals!M17-L17)+L17),(0.5*(L17+Actuals!M17)))),2))</f>
        <v>48.9</v>
      </c>
      <c r="N17" s="24">
        <f>if(count(Actuals!N$4:N$76) =0, 0,ROUND(IF(Actuals!N17="",M17,IF(Actuals!N17 &gt; M17,(0.2*(Actuals!N17-M17)+M17),(0.5*(M17+Actuals!N17)))),2))</f>
        <v>48.9</v>
      </c>
      <c r="O17" s="24">
        <f>if(count(Actuals!O$4:O$76) =0, 0,ROUND(IF(Actuals!O17="",N17,IF(Actuals!O17 &gt; N17,(0.2*(Actuals!O17-N17)+N17),(0.5*(N17+Actuals!O17)))),2))</f>
        <v>48.9</v>
      </c>
      <c r="P17" s="24">
        <f>if(count(Actuals!P$4:P$76) =0, 0,ROUND(IF(Actuals!P17="",O17,IF(Actuals!P17 &gt; O17,(0.2*(Actuals!P17-O17)+O17),(0.5*(O17+Actuals!P17)))),2))</f>
        <v>48.9</v>
      </c>
      <c r="Q17" s="24">
        <f>if(count(Actuals!Q$4:Q$76) =0, 0,ROUND(IF(Actuals!Q17="",P17,IF(Actuals!Q17 &gt; P17,(0.2*(Actuals!Q17-P17)+P17),(0.5*(P17+Actuals!Q17)))),2))</f>
        <v>48.9</v>
      </c>
      <c r="R17" s="24">
        <f>if(count(Actuals!R$4:R$65) =0, 0,ROUND(IF(Actuals!R17="",Q17,IF(Actuals!R17 &gt; Q17,(0.2*(Actuals!R17-Q17)+Q17),(0.5*(Q17+Actuals!R17)))),2))</f>
        <v>0</v>
      </c>
    </row>
    <row r="18">
      <c r="A18" s="13" t="s">
        <v>59</v>
      </c>
      <c r="B18" s="24">
        <v>43.85</v>
      </c>
      <c r="C18" s="24">
        <f>if(count(Actuals!C$4:C$76) =0, 0,ROUND(IF(Actuals!C18="",B18,IF(Actuals!C18 &gt; B18,(0.2*(Actuals!C18-B18)+B18),(0.5*(B18+Actuals!C18)))),2))</f>
        <v>44.68</v>
      </c>
      <c r="D18" s="24">
        <f>if(count(Actuals!D$4:D$76) =0, 0,ROUND(IF(Actuals!D18="",C18,IF(Actuals!D18 &gt; C18,(0.2*(Actuals!D18-C18)+C18),(0.5*(C18+Actuals!D18)))),2))</f>
        <v>43.84</v>
      </c>
      <c r="E18" s="24">
        <f>if(count(Actuals!E$4:E$76) =0, 0,ROUND(IF(Actuals!E18="",D18,IF(Actuals!E18 &gt; D18,(0.2*(Actuals!E18-D18)+D18),(0.5*(D18+Actuals!E18)))),2))</f>
        <v>44.07</v>
      </c>
      <c r="F18" s="24">
        <f>if(count(Actuals!F$4:F$76) =0, 0,ROUND(IF(Actuals!F18="",E18,IF(Actuals!F18 &gt; E18,(0.2*(Actuals!F18-E18)+E18),(0.5*(E18+Actuals!F18)))),2))</f>
        <v>44.07</v>
      </c>
      <c r="G18" s="24">
        <f>if(count(Actuals!G$4:G$76) =0, 0,ROUND(IF(Actuals!G18="",F18,IF(Actuals!G18 &gt; F18,(0.2*(Actuals!G18-F18)+F18),(0.5*(F18+Actuals!G18)))),2))</f>
        <v>44.07</v>
      </c>
      <c r="H18" s="24">
        <f>if(count(Actuals!H$4:H$76) =0, 0,ROUND(IF(Actuals!H18="",G18,IF(Actuals!H18 &gt; G18,(0.2*(Actuals!H18-G18)+G18),(0.5*(G18+Actuals!H18)))),2))</f>
        <v>44.07</v>
      </c>
      <c r="I18" s="24">
        <f>if(count(Actuals!I$4:I$76) =0, 0,ROUND(IF(Actuals!I18="",H18,IF(Actuals!I18 &gt; H18,(0.2*(Actuals!I18-H18)+H18),(0.5*(H18+Actuals!I18)))),2))</f>
        <v>44.07</v>
      </c>
      <c r="J18" s="24">
        <f>if(count(Actuals!J$4:J$76) =0, 0,ROUND(IF(Actuals!J18="",I18,IF(Actuals!J18 &gt; I18,(0.2*(Actuals!J18-I18)+I18),(0.5*(I18+Actuals!J18)))),2))</f>
        <v>44.07</v>
      </c>
      <c r="K18" s="24">
        <f>if(count(Actuals!K$4:K$76) =0, 0,ROUND(IF(Actuals!K18="",J18,IF(Actuals!K18 &gt; J18,(0.2*(Actuals!K18-J18)+J18),(0.5*(J18+Actuals!K18)))),2))</f>
        <v>44.07</v>
      </c>
      <c r="L18" s="24">
        <f>if(count(Actuals!L$4:L$76) =0, 0,ROUND(IF(Actuals!L18="",K18,IF(Actuals!L18 &gt; K18,(0.2*(Actuals!L18-K18)+K18),(0.5*(K18+Actuals!L18)))),2))</f>
        <v>44.07</v>
      </c>
      <c r="M18" s="24">
        <f>if(count(Actuals!M$4:M$76) =0, 0,ROUND(IF(Actuals!M18="",L18,IF(Actuals!M18 &gt; L18,(0.2*(Actuals!M18-L18)+L18),(0.5*(L18+Actuals!M18)))),2))</f>
        <v>44.07</v>
      </c>
      <c r="N18" s="24">
        <f>if(count(Actuals!N$4:N$76) =0, 0,ROUND(IF(Actuals!N18="",M18,IF(Actuals!N18 &gt; M18,(0.2*(Actuals!N18-M18)+M18),(0.5*(M18+Actuals!N18)))),2))</f>
        <v>44.07</v>
      </c>
      <c r="O18" s="24">
        <f>if(count(Actuals!O$4:O$76) =0, 0,ROUND(IF(Actuals!O18="",N18,IF(Actuals!O18 &gt; N18,(0.2*(Actuals!O18-N18)+N18),(0.5*(N18+Actuals!O18)))),2))</f>
        <v>44.07</v>
      </c>
      <c r="P18" s="24">
        <f>if(count(Actuals!P$4:P$76) =0, 0,ROUND(IF(Actuals!P18="",O18,IF(Actuals!P18 &gt; O18,(0.2*(Actuals!P18-O18)+O18),(0.5*(O18+Actuals!P18)))),2))</f>
        <v>44.07</v>
      </c>
      <c r="Q18" s="24">
        <f>if(count(Actuals!Q$4:Q$76) =0, 0,ROUND(IF(Actuals!Q18="",P18,IF(Actuals!Q18 &gt; P18,(0.2*(Actuals!Q18-P18)+P18),(0.5*(P18+Actuals!Q18)))),2))</f>
        <v>44.07</v>
      </c>
      <c r="R18" s="24">
        <f>if(count(Actuals!R$4:R$65) =0, 0,ROUND(IF(Actuals!R18="",Q18,IF(Actuals!R18 &gt; Q18,(0.2*(Actuals!R18-Q18)+Q18),(0.5*(Q18+Actuals!R18)))),2))</f>
        <v>0</v>
      </c>
    </row>
    <row r="19">
      <c r="A19" s="13" t="s">
        <v>62</v>
      </c>
      <c r="B19" s="24">
        <v>48.02</v>
      </c>
      <c r="C19" s="24">
        <f>if(count(Actuals!C$4:C$76) =0, 0,ROUND(IF(Actuals!C19="",B19,IF(Actuals!C19 &gt; B19,(0.2*(Actuals!C19-B19)+B19),(0.5*(B19+Actuals!C19)))),2))</f>
        <v>48.02</v>
      </c>
      <c r="D19" s="24">
        <f>if(count(Actuals!D$4:D$76) =0, 0,ROUND(IF(Actuals!D19="",C19,IF(Actuals!D19 &gt; C19,(0.2*(Actuals!D19-C19)+C19),(0.5*(C19+Actuals!D19)))),2))</f>
        <v>47.51</v>
      </c>
      <c r="E19" s="24">
        <f>if(count(Actuals!E$4:E$76) =0, 0,ROUND(IF(Actuals!E19="",D19,IF(Actuals!E19 &gt; D19,(0.2*(Actuals!E19-D19)+D19),(0.5*(D19+Actuals!E19)))),2))</f>
        <v>47.51</v>
      </c>
      <c r="F19" s="24">
        <f>if(count(Actuals!F$4:F$76) =0, 0,ROUND(IF(Actuals!F19="",E19,IF(Actuals!F19 &gt; E19,(0.2*(Actuals!F19-E19)+E19),(0.5*(E19+Actuals!F19)))),2))</f>
        <v>47.51</v>
      </c>
      <c r="G19" s="24">
        <f>if(count(Actuals!G$4:G$76) =0, 0,ROUND(IF(Actuals!G19="",F19,IF(Actuals!G19 &gt; F19,(0.2*(Actuals!G19-F19)+F19),(0.5*(F19+Actuals!G19)))),2))</f>
        <v>47.51</v>
      </c>
      <c r="H19" s="24">
        <f>if(count(Actuals!H$4:H$76) =0, 0,ROUND(IF(Actuals!H19="",G19,IF(Actuals!H19 &gt; G19,(0.2*(Actuals!H19-G19)+G19),(0.5*(G19+Actuals!H19)))),2))</f>
        <v>47.51</v>
      </c>
      <c r="I19" s="24">
        <f>if(count(Actuals!I$4:I$76) =0, 0,ROUND(IF(Actuals!I19="",H19,IF(Actuals!I19 &gt; H19,(0.2*(Actuals!I19-H19)+H19),(0.5*(H19+Actuals!I19)))),2))</f>
        <v>47.51</v>
      </c>
      <c r="J19" s="24">
        <f>if(count(Actuals!J$4:J$76) =0, 0,ROUND(IF(Actuals!J19="",I19,IF(Actuals!J19 &gt; I19,(0.2*(Actuals!J19-I19)+I19),(0.5*(I19+Actuals!J19)))),2))</f>
        <v>47.51</v>
      </c>
      <c r="K19" s="24">
        <f>if(count(Actuals!K$4:K$76) =0, 0,ROUND(IF(Actuals!K19="",J19,IF(Actuals!K19 &gt; J19,(0.2*(Actuals!K19-J19)+J19),(0.5*(J19+Actuals!K19)))),2))</f>
        <v>47.51</v>
      </c>
      <c r="L19" s="24">
        <f>if(count(Actuals!L$4:L$76) =0, 0,ROUND(IF(Actuals!L19="",K19,IF(Actuals!L19 &gt; K19,(0.2*(Actuals!L19-K19)+K19),(0.5*(K19+Actuals!L19)))),2))</f>
        <v>47.51</v>
      </c>
      <c r="M19" s="24">
        <f>if(count(Actuals!M$4:M$76) =0, 0,ROUND(IF(Actuals!M19="",L19,IF(Actuals!M19 &gt; L19,(0.2*(Actuals!M19-L19)+L19),(0.5*(L19+Actuals!M19)))),2))</f>
        <v>47.51</v>
      </c>
      <c r="N19" s="24">
        <f>if(count(Actuals!N$4:N$76) =0, 0,ROUND(IF(Actuals!N19="",M19,IF(Actuals!N19 &gt; M19,(0.2*(Actuals!N19-M19)+M19),(0.5*(M19+Actuals!N19)))),2))</f>
        <v>47.51</v>
      </c>
      <c r="O19" s="24">
        <f>if(count(Actuals!O$4:O$76) =0, 0,ROUND(IF(Actuals!O19="",N19,IF(Actuals!O19 &gt; N19,(0.2*(Actuals!O19-N19)+N19),(0.5*(N19+Actuals!O19)))),2))</f>
        <v>47.51</v>
      </c>
      <c r="P19" s="24">
        <f>if(count(Actuals!P$4:P$76) =0, 0,ROUND(IF(Actuals!P19="",O19,IF(Actuals!P19 &gt; O19,(0.2*(Actuals!P19-O19)+O19),(0.5*(O19+Actuals!P19)))),2))</f>
        <v>47.51</v>
      </c>
      <c r="Q19" s="24">
        <f>if(count(Actuals!Q$4:Q$76) =0, 0,ROUND(IF(Actuals!Q19="",P19,IF(Actuals!Q19 &gt; P19,(0.2*(Actuals!Q19-P19)+P19),(0.5*(P19+Actuals!Q19)))),2))</f>
        <v>47.51</v>
      </c>
      <c r="R19" s="24">
        <f>if(count(Actuals!R$4:R$65) =0, 0,ROUND(IF(Actuals!R19="",Q19,IF(Actuals!R19 &gt; Q19,(0.2*(Actuals!R19-Q19)+Q19),(0.5*(Q19+Actuals!R19)))),2))</f>
        <v>0</v>
      </c>
    </row>
    <row r="20">
      <c r="A20" s="13" t="s">
        <v>54</v>
      </c>
      <c r="B20" s="24">
        <v>37.32</v>
      </c>
      <c r="C20" s="24">
        <f>if(count(Actuals!C$4:C$76) =0, 0,ROUND(IF(Actuals!C20="",B20,IF(Actuals!C20 &gt; B20,(0.2*(Actuals!C20-B20)+B20),(0.5*(B20+Actuals!C20)))),2))</f>
        <v>37.32</v>
      </c>
      <c r="D20" s="24">
        <f>if(count(Actuals!D$4:D$76) =0, 0,ROUND(IF(Actuals!D20="",C20,IF(Actuals!D20 &gt; C20,(0.2*(Actuals!D20-C20)+C20),(0.5*(C20+Actuals!D20)))),2))</f>
        <v>37.32</v>
      </c>
      <c r="E20" s="24">
        <f>if(count(Actuals!E$4:E$76) =0, 0,ROUND(IF(Actuals!E20="",D20,IF(Actuals!E20 &gt; D20,(0.2*(Actuals!E20-D20)+D20),(0.5*(D20+Actuals!E20)))),2))</f>
        <v>37.32</v>
      </c>
      <c r="F20" s="24">
        <f>if(count(Actuals!F$4:F$76) =0, 0,ROUND(IF(Actuals!F20="",E20,IF(Actuals!F20 &gt; E20,(0.2*(Actuals!F20-E20)+E20),(0.5*(E20+Actuals!F20)))),2))</f>
        <v>37.32</v>
      </c>
      <c r="G20" s="24">
        <f>if(count(Actuals!G$4:G$76) =0, 0,ROUND(IF(Actuals!G20="",F20,IF(Actuals!G20 &gt; F20,(0.2*(Actuals!G20-F20)+F20),(0.5*(F20+Actuals!G20)))),2))</f>
        <v>37.32</v>
      </c>
      <c r="H20" s="24">
        <f>if(count(Actuals!H$4:H$76) =0, 0,ROUND(IF(Actuals!H20="",G20,IF(Actuals!H20 &gt; G20,(0.2*(Actuals!H20-G20)+G20),(0.5*(G20+Actuals!H20)))),2))</f>
        <v>37.32</v>
      </c>
      <c r="I20" s="24">
        <f>if(count(Actuals!I$4:I$76) =0, 0,ROUND(IF(Actuals!I20="",H20,IF(Actuals!I20 &gt; H20,(0.2*(Actuals!I20-H20)+H20),(0.5*(H20+Actuals!I20)))),2))</f>
        <v>37.32</v>
      </c>
      <c r="J20" s="24">
        <f>if(count(Actuals!J$4:J$76) =0, 0,ROUND(IF(Actuals!J20="",I20,IF(Actuals!J20 &gt; I20,(0.2*(Actuals!J20-I20)+I20),(0.5*(I20+Actuals!J20)))),2))</f>
        <v>37.32</v>
      </c>
      <c r="K20" s="24">
        <f>if(count(Actuals!K$4:K$76) =0, 0,ROUND(IF(Actuals!K20="",J20,IF(Actuals!K20 &gt; J20,(0.2*(Actuals!K20-J20)+J20),(0.5*(J20+Actuals!K20)))),2))</f>
        <v>37.32</v>
      </c>
      <c r="L20" s="24">
        <f>if(count(Actuals!L$4:L$76) =0, 0,ROUND(IF(Actuals!L20="",K20,IF(Actuals!L20 &gt; K20,(0.2*(Actuals!L20-K20)+K20),(0.5*(K20+Actuals!L20)))),2))</f>
        <v>37.32</v>
      </c>
      <c r="M20" s="24">
        <f>if(count(Actuals!M$4:M$76) =0, 0,ROUND(IF(Actuals!M20="",L20,IF(Actuals!M20 &gt; L20,(0.2*(Actuals!M20-L20)+L20),(0.5*(L20+Actuals!M20)))),2))</f>
        <v>37.32</v>
      </c>
      <c r="N20" s="24">
        <f>if(count(Actuals!N$4:N$76) =0, 0,ROUND(IF(Actuals!N20="",M20,IF(Actuals!N20 &gt; M20,(0.2*(Actuals!N20-M20)+M20),(0.5*(M20+Actuals!N20)))),2))</f>
        <v>37.32</v>
      </c>
      <c r="O20" s="24">
        <f>if(count(Actuals!O$4:O$76) =0, 0,ROUND(IF(Actuals!O20="",N20,IF(Actuals!O20 &gt; N20,(0.2*(Actuals!O20-N20)+N20),(0.5*(N20+Actuals!O20)))),2))</f>
        <v>37.32</v>
      </c>
      <c r="P20" s="24">
        <f>if(count(Actuals!P$4:P$76) =0, 0,ROUND(IF(Actuals!P20="",O20,IF(Actuals!P20 &gt; O20,(0.2*(Actuals!P20-O20)+O20),(0.5*(O20+Actuals!P20)))),2))</f>
        <v>37.32</v>
      </c>
      <c r="Q20" s="24">
        <f>if(count(Actuals!Q$4:Q$76) =0, 0,ROUND(IF(Actuals!Q20="",P20,IF(Actuals!Q20 &gt; P20,(0.2*(Actuals!Q20-P20)+P20),(0.5*(P20+Actuals!Q20)))),2))</f>
        <v>37.32</v>
      </c>
      <c r="R20" s="24">
        <f>if(count(Actuals!R$4:R$65) =0, 0,ROUND(IF(Actuals!R20="",Q20,IF(Actuals!R20 &gt; Q20,(0.2*(Actuals!R20-Q20)+Q20),(0.5*(Q20+Actuals!R20)))),2))</f>
        <v>0</v>
      </c>
    </row>
    <row r="21">
      <c r="A21" s="13" t="s">
        <v>205</v>
      </c>
      <c r="B21" s="24">
        <v>42.94</v>
      </c>
      <c r="C21" s="24">
        <f>if(count(Actuals!C$4:C$76) =0, 0,ROUND(IF(Actuals!C21="",B21,IF(Actuals!C21 &gt; B21,(0.2*(Actuals!C21-B21)+B21),(0.5*(B21+Actuals!C21)))),2))</f>
        <v>41.97</v>
      </c>
      <c r="D21" s="24">
        <f>if(count(Actuals!D$4:D$76) =0, 0,ROUND(IF(Actuals!D21="",C21,IF(Actuals!D21 &gt; C21,(0.2*(Actuals!D21-C21)+C21),(0.5*(C21+Actuals!D21)))),2))</f>
        <v>42.98</v>
      </c>
      <c r="E21" s="24">
        <f>if(count(Actuals!E$4:E$76) =0, 0,ROUND(IF(Actuals!E21="",D21,IF(Actuals!E21 &gt; D21,(0.2*(Actuals!E21-D21)+D21),(0.5*(D21+Actuals!E21)))),2))</f>
        <v>40.49</v>
      </c>
      <c r="F21" s="24">
        <f>if(count(Actuals!F$4:F$76) =0, 0,ROUND(IF(Actuals!F21="",E21,IF(Actuals!F21 &gt; E21,(0.2*(Actuals!F21-E21)+E21),(0.5*(E21+Actuals!F21)))),2))</f>
        <v>40.49</v>
      </c>
      <c r="G21" s="24">
        <f>if(count(Actuals!G$4:G$76) =0, 0,ROUND(IF(Actuals!G21="",F21,IF(Actuals!G21 &gt; F21,(0.2*(Actuals!G21-F21)+F21),(0.5*(F21+Actuals!G21)))),2))</f>
        <v>40.49</v>
      </c>
      <c r="H21" s="24">
        <f>if(count(Actuals!H$4:H$76) =0, 0,ROUND(IF(Actuals!H21="",G21,IF(Actuals!H21 &gt; G21,(0.2*(Actuals!H21-G21)+G21),(0.5*(G21+Actuals!H21)))),2))</f>
        <v>40.49</v>
      </c>
      <c r="I21" s="24">
        <f>if(count(Actuals!I$4:I$76) =0, 0,ROUND(IF(Actuals!I21="",H21,IF(Actuals!I21 &gt; H21,(0.2*(Actuals!I21-H21)+H21),(0.5*(H21+Actuals!I21)))),2))</f>
        <v>40.49</v>
      </c>
      <c r="J21" s="24">
        <f>if(count(Actuals!J$4:J$76) =0, 0,ROUND(IF(Actuals!J21="",I21,IF(Actuals!J21 &gt; I21,(0.2*(Actuals!J21-I21)+I21),(0.5*(I21+Actuals!J21)))),2))</f>
        <v>40.49</v>
      </c>
      <c r="K21" s="24">
        <f>if(count(Actuals!K$4:K$76) =0, 0,ROUND(IF(Actuals!K21="",J21,IF(Actuals!K21 &gt; J21,(0.2*(Actuals!K21-J21)+J21),(0.5*(J21+Actuals!K21)))),2))</f>
        <v>40.49</v>
      </c>
      <c r="L21" s="24">
        <f>if(count(Actuals!L$4:L$76) =0, 0,ROUND(IF(Actuals!L21="",K21,IF(Actuals!L21 &gt; K21,(0.2*(Actuals!L21-K21)+K21),(0.5*(K21+Actuals!L21)))),2))</f>
        <v>40.49</v>
      </c>
      <c r="M21" s="24">
        <f>if(count(Actuals!M$4:M$76) =0, 0,ROUND(IF(Actuals!M21="",L21,IF(Actuals!M21 &gt; L21,(0.2*(Actuals!M21-L21)+L21),(0.5*(L21+Actuals!M21)))),2))</f>
        <v>40.49</v>
      </c>
      <c r="N21" s="24">
        <f>if(count(Actuals!N$4:N$76) =0, 0,ROUND(IF(Actuals!N21="",M21,IF(Actuals!N21 &gt; M21,(0.2*(Actuals!N21-M21)+M21),(0.5*(M21+Actuals!N21)))),2))</f>
        <v>40.49</v>
      </c>
      <c r="O21" s="24">
        <f>if(count(Actuals!O$4:O$76) =0, 0,ROUND(IF(Actuals!O21="",N21,IF(Actuals!O21 &gt; N21,(0.2*(Actuals!O21-N21)+N21),(0.5*(N21+Actuals!O21)))),2))</f>
        <v>40.49</v>
      </c>
      <c r="P21" s="24">
        <f>if(count(Actuals!P$4:P$76) =0, 0,ROUND(IF(Actuals!P21="",O21,IF(Actuals!P21 &gt; O21,(0.2*(Actuals!P21-O21)+O21),(0.5*(O21+Actuals!P21)))),2))</f>
        <v>40.49</v>
      </c>
      <c r="Q21" s="24">
        <f>if(count(Actuals!Q$4:Q$76) =0, 0,ROUND(IF(Actuals!Q21="",P21,IF(Actuals!Q21 &gt; P21,(0.2*(Actuals!Q21-P21)+P21),(0.5*(P21+Actuals!Q21)))),2))</f>
        <v>40.49</v>
      </c>
      <c r="R21" s="24">
        <f>if(count(Actuals!R$4:R$65) =0, 0,ROUND(IF(Actuals!R21="",Q21,IF(Actuals!R21 &gt; Q21,(0.2*(Actuals!R21-Q21)+Q21),(0.5*(Q21+Actuals!R21)))),2))</f>
        <v>0</v>
      </c>
    </row>
    <row r="22">
      <c r="A22" s="13" t="s">
        <v>206</v>
      </c>
      <c r="B22" s="24">
        <v>39.46</v>
      </c>
      <c r="C22" s="24">
        <f>if(count(Actuals!C$4:C$76) =0, 0,ROUND(IF(Actuals!C22="",B22,IF(Actuals!C22 &gt; B22,(0.2*(Actuals!C22-B22)+B22),(0.5*(B22+Actuals!C22)))),2))</f>
        <v>39.46</v>
      </c>
      <c r="D22" s="24">
        <f>if(count(Actuals!D$4:D$76) =0, 0,ROUND(IF(Actuals!D22="",C22,IF(Actuals!D22 &gt; C22,(0.2*(Actuals!D22-C22)+C22),(0.5*(C22+Actuals!D22)))),2))</f>
        <v>39.46</v>
      </c>
      <c r="E22" s="24">
        <f>if(count(Actuals!E$4:E$76) =0, 0,ROUND(IF(Actuals!E22="",D22,IF(Actuals!E22 &gt; D22,(0.2*(Actuals!E22-D22)+D22),(0.5*(D22+Actuals!E22)))),2))</f>
        <v>39.46</v>
      </c>
      <c r="F22" s="24">
        <f>if(count(Actuals!F$4:F$76) =0, 0,ROUND(IF(Actuals!F22="",E22,IF(Actuals!F22 &gt; E22,(0.2*(Actuals!F22-E22)+E22),(0.5*(E22+Actuals!F22)))),2))</f>
        <v>39.46</v>
      </c>
      <c r="G22" s="24">
        <f>if(count(Actuals!G$4:G$76) =0, 0,ROUND(IF(Actuals!G22="",F22,IF(Actuals!G22 &gt; F22,(0.2*(Actuals!G22-F22)+F22),(0.5*(F22+Actuals!G22)))),2))</f>
        <v>39.46</v>
      </c>
      <c r="H22" s="24">
        <f>if(count(Actuals!H$4:H$76) =0, 0,ROUND(IF(Actuals!H22="",G22,IF(Actuals!H22 &gt; G22,(0.2*(Actuals!H22-G22)+G22),(0.5*(G22+Actuals!H22)))),2))</f>
        <v>39.46</v>
      </c>
      <c r="I22" s="24">
        <f>if(count(Actuals!I$4:I$76) =0, 0,ROUND(IF(Actuals!I22="",H22,IF(Actuals!I22 &gt; H22,(0.2*(Actuals!I22-H22)+H22),(0.5*(H22+Actuals!I22)))),2))</f>
        <v>39.46</v>
      </c>
      <c r="J22" s="24">
        <f>if(count(Actuals!J$4:J$76) =0, 0,ROUND(IF(Actuals!J22="",I22,IF(Actuals!J22 &gt; I22,(0.2*(Actuals!J22-I22)+I22),(0.5*(I22+Actuals!J22)))),2))</f>
        <v>39.46</v>
      </c>
      <c r="K22" s="24">
        <f>if(count(Actuals!K$4:K$76) =0, 0,ROUND(IF(Actuals!K22="",J22,IF(Actuals!K22 &gt; J22,(0.2*(Actuals!K22-J22)+J22),(0.5*(J22+Actuals!K22)))),2))</f>
        <v>39.46</v>
      </c>
      <c r="L22" s="24">
        <f>if(count(Actuals!L$4:L$76) =0, 0,ROUND(IF(Actuals!L22="",K22,IF(Actuals!L22 &gt; K22,(0.2*(Actuals!L22-K22)+K22),(0.5*(K22+Actuals!L22)))),2))</f>
        <v>39.46</v>
      </c>
      <c r="M22" s="24">
        <f>if(count(Actuals!M$4:M$76) =0, 0,ROUND(IF(Actuals!M22="",L22,IF(Actuals!M22 &gt; L22,(0.2*(Actuals!M22-L22)+L22),(0.5*(L22+Actuals!M22)))),2))</f>
        <v>39.46</v>
      </c>
      <c r="N22" s="24">
        <f>if(count(Actuals!N$4:N$76) =0, 0,ROUND(IF(Actuals!N22="",M22,IF(Actuals!N22 &gt; M22,(0.2*(Actuals!N22-M22)+M22),(0.5*(M22+Actuals!N22)))),2))</f>
        <v>39.46</v>
      </c>
      <c r="O22" s="24">
        <f>if(count(Actuals!O$4:O$76) =0, 0,ROUND(IF(Actuals!O22="",N22,IF(Actuals!O22 &gt; N22,(0.2*(Actuals!O22-N22)+N22),(0.5*(N22+Actuals!O22)))),2))</f>
        <v>39.46</v>
      </c>
      <c r="P22" s="24">
        <f>if(count(Actuals!P$4:P$76) =0, 0,ROUND(IF(Actuals!P22="",O22,IF(Actuals!P22 &gt; O22,(0.2*(Actuals!P22-O22)+O22),(0.5*(O22+Actuals!P22)))),2))</f>
        <v>39.46</v>
      </c>
      <c r="Q22" s="24">
        <f>if(count(Actuals!Q$4:Q$76) =0, 0,ROUND(IF(Actuals!Q22="",P22,IF(Actuals!Q22 &gt; P22,(0.2*(Actuals!Q22-P22)+P22),(0.5*(P22+Actuals!Q22)))),2))</f>
        <v>39.46</v>
      </c>
      <c r="R22" s="24">
        <f>if(count(Actuals!R$4:R$65) =0, 0,ROUND(IF(Actuals!R22="",Q22,IF(Actuals!R22 &gt; Q22,(0.2*(Actuals!R22-Q22)+Q22),(0.5*(Q22+Actuals!R22)))),2))</f>
        <v>0</v>
      </c>
    </row>
    <row r="23">
      <c r="A23" s="13" t="s">
        <v>207</v>
      </c>
      <c r="B23" s="24">
        <v>38.47</v>
      </c>
      <c r="C23" s="24">
        <f>if(count(Actuals!C$4:C$76) =0, 0,ROUND(IF(Actuals!C23="",B23,IF(Actuals!C23 &gt; B23,(0.2*(Actuals!C23-B23)+B23),(0.5*(B23+Actuals!C23)))),2))</f>
        <v>38.47</v>
      </c>
      <c r="D23" s="24">
        <f>if(count(Actuals!D$4:D$76) =0, 0,ROUND(IF(Actuals!D23="",C23,IF(Actuals!D23 &gt; C23,(0.2*(Actuals!D23-C23)+C23),(0.5*(C23+Actuals!D23)))),2))</f>
        <v>38.47</v>
      </c>
      <c r="E23" s="24">
        <f>if(count(Actuals!E$4:E$76) =0, 0,ROUND(IF(Actuals!E23="",D23,IF(Actuals!E23 &gt; D23,(0.2*(Actuals!E23-D23)+D23),(0.5*(D23+Actuals!E23)))),2))</f>
        <v>37.24</v>
      </c>
      <c r="F23" s="24">
        <f>if(count(Actuals!F$4:F$76) =0, 0,ROUND(IF(Actuals!F23="",E23,IF(Actuals!F23 &gt; E23,(0.2*(Actuals!F23-E23)+E23),(0.5*(E23+Actuals!F23)))),2))</f>
        <v>37.24</v>
      </c>
      <c r="G23" s="24">
        <f>if(count(Actuals!G$4:G$76) =0, 0,ROUND(IF(Actuals!G23="",F23,IF(Actuals!G23 &gt; F23,(0.2*(Actuals!G23-F23)+F23),(0.5*(F23+Actuals!G23)))),2))</f>
        <v>37.24</v>
      </c>
      <c r="H23" s="24">
        <f>if(count(Actuals!H$4:H$76) =0, 0,ROUND(IF(Actuals!H23="",G23,IF(Actuals!H23 &gt; G23,(0.2*(Actuals!H23-G23)+G23),(0.5*(G23+Actuals!H23)))),2))</f>
        <v>37.24</v>
      </c>
      <c r="I23" s="24">
        <f>if(count(Actuals!I$4:I$76) =0, 0,ROUND(IF(Actuals!I23="",H23,IF(Actuals!I23 &gt; H23,(0.2*(Actuals!I23-H23)+H23),(0.5*(H23+Actuals!I23)))),2))</f>
        <v>37.24</v>
      </c>
      <c r="J23" s="24">
        <f>if(count(Actuals!J$4:J$76) =0, 0,ROUND(IF(Actuals!J23="",I23,IF(Actuals!J23 &gt; I23,(0.2*(Actuals!J23-I23)+I23),(0.5*(I23+Actuals!J23)))),2))</f>
        <v>37.24</v>
      </c>
      <c r="K23" s="24">
        <f>if(count(Actuals!K$4:K$76) =0, 0,ROUND(IF(Actuals!K23="",J23,IF(Actuals!K23 &gt; J23,(0.2*(Actuals!K23-J23)+J23),(0.5*(J23+Actuals!K23)))),2))</f>
        <v>37.24</v>
      </c>
      <c r="L23" s="24">
        <f>if(count(Actuals!L$4:L$76) =0, 0,ROUND(IF(Actuals!L23="",K23,IF(Actuals!L23 &gt; K23,(0.2*(Actuals!L23-K23)+K23),(0.5*(K23+Actuals!L23)))),2))</f>
        <v>37.24</v>
      </c>
      <c r="M23" s="24">
        <f>if(count(Actuals!M$4:M$76) =0, 0,ROUND(IF(Actuals!M23="",L23,IF(Actuals!M23 &gt; L23,(0.2*(Actuals!M23-L23)+L23),(0.5*(L23+Actuals!M23)))),2))</f>
        <v>37.24</v>
      </c>
      <c r="N23" s="24">
        <f>if(count(Actuals!N$4:N$76) =0, 0,ROUND(IF(Actuals!N23="",M23,IF(Actuals!N23 &gt; M23,(0.2*(Actuals!N23-M23)+M23),(0.5*(M23+Actuals!N23)))),2))</f>
        <v>37.24</v>
      </c>
      <c r="O23" s="24">
        <f>if(count(Actuals!O$4:O$76) =0, 0,ROUND(IF(Actuals!O23="",N23,IF(Actuals!O23 &gt; N23,(0.2*(Actuals!O23-N23)+N23),(0.5*(N23+Actuals!O23)))),2))</f>
        <v>37.24</v>
      </c>
      <c r="P23" s="24">
        <f>if(count(Actuals!P$4:P$76) =0, 0,ROUND(IF(Actuals!P23="",O23,IF(Actuals!P23 &gt; O23,(0.2*(Actuals!P23-O23)+O23),(0.5*(O23+Actuals!P23)))),2))</f>
        <v>37.24</v>
      </c>
      <c r="Q23" s="24">
        <f>if(count(Actuals!Q$4:Q$76) =0, 0,ROUND(IF(Actuals!Q23="",P23,IF(Actuals!Q23 &gt; P23,(0.2*(Actuals!Q23-P23)+P23),(0.5*(P23+Actuals!Q23)))),2))</f>
        <v>37.24</v>
      </c>
      <c r="R23" s="24">
        <f>if(count(Actuals!R$4:R$65) =0, 0,ROUND(IF(Actuals!R23="",Q23,IF(Actuals!R23 &gt; Q23,(0.2*(Actuals!R23-Q23)+Q23),(0.5*(Q23+Actuals!R23)))),2))</f>
        <v>0</v>
      </c>
    </row>
    <row r="24">
      <c r="A24" s="13" t="s">
        <v>208</v>
      </c>
      <c r="B24" s="24">
        <v>37.02</v>
      </c>
      <c r="C24" s="24">
        <f>if(count(Actuals!C$4:C$76) =0, 0,ROUND(IF(Actuals!C24="",B24,IF(Actuals!C24 &gt; B24,(0.2*(Actuals!C24-B24)+B24),(0.5*(B24+Actuals!C24)))),2))</f>
        <v>35.51</v>
      </c>
      <c r="D24" s="24">
        <f>if(count(Actuals!D$4:D$76) =0, 0,ROUND(IF(Actuals!D24="",C24,IF(Actuals!D24 &gt; C24,(0.2*(Actuals!D24-C24)+C24),(0.5*(C24+Actuals!D24)))),2))</f>
        <v>36.21</v>
      </c>
      <c r="E24" s="24">
        <f>if(count(Actuals!E$4:E$76) =0, 0,ROUND(IF(Actuals!E24="",D24,IF(Actuals!E24 &gt; D24,(0.2*(Actuals!E24-D24)+D24),(0.5*(D24+Actuals!E24)))),2))</f>
        <v>36.21</v>
      </c>
      <c r="F24" s="24">
        <f>if(count(Actuals!F$4:F$76) =0, 0,ROUND(IF(Actuals!F24="",E24,IF(Actuals!F24 &gt; E24,(0.2*(Actuals!F24-E24)+E24),(0.5*(E24+Actuals!F24)))),2))</f>
        <v>36.21</v>
      </c>
      <c r="G24" s="24">
        <f>if(count(Actuals!G$4:G$76) =0, 0,ROUND(IF(Actuals!G24="",F24,IF(Actuals!G24 &gt; F24,(0.2*(Actuals!G24-F24)+F24),(0.5*(F24+Actuals!G24)))),2))</f>
        <v>36.21</v>
      </c>
      <c r="H24" s="24">
        <f>if(count(Actuals!H$4:H$76) =0, 0,ROUND(IF(Actuals!H24="",G24,IF(Actuals!H24 &gt; G24,(0.2*(Actuals!H24-G24)+G24),(0.5*(G24+Actuals!H24)))),2))</f>
        <v>36.21</v>
      </c>
      <c r="I24" s="24">
        <f>if(count(Actuals!I$4:I$76) =0, 0,ROUND(IF(Actuals!I24="",H24,IF(Actuals!I24 &gt; H24,(0.2*(Actuals!I24-H24)+H24),(0.5*(H24+Actuals!I24)))),2))</f>
        <v>36.21</v>
      </c>
      <c r="J24" s="24">
        <f>if(count(Actuals!J$4:J$76) =0, 0,ROUND(IF(Actuals!J24="",I24,IF(Actuals!J24 &gt; I24,(0.2*(Actuals!J24-I24)+I24),(0.5*(I24+Actuals!J24)))),2))</f>
        <v>36.21</v>
      </c>
      <c r="K24" s="24">
        <f>if(count(Actuals!K$4:K$76) =0, 0,ROUND(IF(Actuals!K24="",J24,IF(Actuals!K24 &gt; J24,(0.2*(Actuals!K24-J24)+J24),(0.5*(J24+Actuals!K24)))),2))</f>
        <v>36.21</v>
      </c>
      <c r="L24" s="24">
        <f>if(count(Actuals!L$4:L$76) =0, 0,ROUND(IF(Actuals!L24="",K24,IF(Actuals!L24 &gt; K24,(0.2*(Actuals!L24-K24)+K24),(0.5*(K24+Actuals!L24)))),2))</f>
        <v>36.21</v>
      </c>
      <c r="M24" s="24">
        <f>if(count(Actuals!M$4:M$76) =0, 0,ROUND(IF(Actuals!M24="",L24,IF(Actuals!M24 &gt; L24,(0.2*(Actuals!M24-L24)+L24),(0.5*(L24+Actuals!M24)))),2))</f>
        <v>36.21</v>
      </c>
      <c r="N24" s="24">
        <f>if(count(Actuals!N$4:N$76) =0, 0,ROUND(IF(Actuals!N24="",M24,IF(Actuals!N24 &gt; M24,(0.2*(Actuals!N24-M24)+M24),(0.5*(M24+Actuals!N24)))),2))</f>
        <v>36.21</v>
      </c>
      <c r="O24" s="24">
        <f>if(count(Actuals!O$4:O$76) =0, 0,ROUND(IF(Actuals!O24="",N24,IF(Actuals!O24 &gt; N24,(0.2*(Actuals!O24-N24)+N24),(0.5*(N24+Actuals!O24)))),2))</f>
        <v>36.21</v>
      </c>
      <c r="P24" s="24">
        <f>if(count(Actuals!P$4:P$76) =0, 0,ROUND(IF(Actuals!P24="",O24,IF(Actuals!P24 &gt; O24,(0.2*(Actuals!P24-O24)+O24),(0.5*(O24+Actuals!P24)))),2))</f>
        <v>36.21</v>
      </c>
      <c r="Q24" s="24">
        <f>if(count(Actuals!Q$4:Q$76) =0, 0,ROUND(IF(Actuals!Q24="",P24,IF(Actuals!Q24 &gt; P24,(0.2*(Actuals!Q24-P24)+P24),(0.5*(P24+Actuals!Q24)))),2))</f>
        <v>36.21</v>
      </c>
      <c r="R24" s="24">
        <f>if(count(Actuals!R$4:R$65) =0, 0,ROUND(IF(Actuals!R24="",Q24,IF(Actuals!R24 &gt; Q24,(0.2*(Actuals!R24-Q24)+Q24),(0.5*(Q24+Actuals!R24)))),2))</f>
        <v>0</v>
      </c>
    </row>
    <row r="25">
      <c r="A25" s="13" t="s">
        <v>64</v>
      </c>
      <c r="B25" s="24">
        <v>45.99</v>
      </c>
      <c r="C25" s="24">
        <f>if(count(Actuals!C$4:C$76) =0, 0,ROUND(IF(Actuals!C25="",B25,IF(Actuals!C25 &gt; B25,(0.2*(Actuals!C25-B25)+B25),(0.5*(B25+Actuals!C25)))),2))</f>
        <v>45.5</v>
      </c>
      <c r="D25" s="24">
        <f>if(count(Actuals!D$4:D$76) =0, 0,ROUND(IF(Actuals!D25="",C25,IF(Actuals!D25 &gt; C25,(0.2*(Actuals!D25-C25)+C25),(0.5*(C25+Actuals!D25)))),2))</f>
        <v>45.6</v>
      </c>
      <c r="E25" s="24">
        <f>if(count(Actuals!E$4:E$76) =0, 0,ROUND(IF(Actuals!E25="",D25,IF(Actuals!E25 &gt; D25,(0.2*(Actuals!E25-D25)+D25),(0.5*(D25+Actuals!E25)))),2))</f>
        <v>45.68</v>
      </c>
      <c r="F25" s="24">
        <f>if(count(Actuals!F$4:F$76) =0, 0,ROUND(IF(Actuals!F25="",E25,IF(Actuals!F25 &gt; E25,(0.2*(Actuals!F25-E25)+E25),(0.5*(E25+Actuals!F25)))),2))</f>
        <v>45.68</v>
      </c>
      <c r="G25" s="24">
        <f>if(count(Actuals!G$4:G$76) =0, 0,ROUND(IF(Actuals!G25="",F25,IF(Actuals!G25 &gt; F25,(0.2*(Actuals!G25-F25)+F25),(0.5*(F25+Actuals!G25)))),2))</f>
        <v>45.68</v>
      </c>
      <c r="H25" s="24">
        <f>if(count(Actuals!H$4:H$76) =0, 0,ROUND(IF(Actuals!H25="",G25,IF(Actuals!H25 &gt; G25,(0.2*(Actuals!H25-G25)+G25),(0.5*(G25+Actuals!H25)))),2))</f>
        <v>45.68</v>
      </c>
      <c r="I25" s="24">
        <f>if(count(Actuals!I$4:I$76) =0, 0,ROUND(IF(Actuals!I25="",H25,IF(Actuals!I25 &gt; H25,(0.2*(Actuals!I25-H25)+H25),(0.5*(H25+Actuals!I25)))),2))</f>
        <v>45.68</v>
      </c>
      <c r="J25" s="24">
        <f>if(count(Actuals!J$4:J$76) =0, 0,ROUND(IF(Actuals!J25="",I25,IF(Actuals!J25 &gt; I25,(0.2*(Actuals!J25-I25)+I25),(0.5*(I25+Actuals!J25)))),2))</f>
        <v>45.68</v>
      </c>
      <c r="K25" s="24">
        <f>if(count(Actuals!K$4:K$76) =0, 0,ROUND(IF(Actuals!K25="",J25,IF(Actuals!K25 &gt; J25,(0.2*(Actuals!K25-J25)+J25),(0.5*(J25+Actuals!K25)))),2))</f>
        <v>45.68</v>
      </c>
      <c r="L25" s="24">
        <f>if(count(Actuals!L$4:L$76) =0, 0,ROUND(IF(Actuals!L25="",K25,IF(Actuals!L25 &gt; K25,(0.2*(Actuals!L25-K25)+K25),(0.5*(K25+Actuals!L25)))),2))</f>
        <v>45.68</v>
      </c>
      <c r="M25" s="24">
        <f>if(count(Actuals!M$4:M$76) =0, 0,ROUND(IF(Actuals!M25="",L25,IF(Actuals!M25 &gt; L25,(0.2*(Actuals!M25-L25)+L25),(0.5*(L25+Actuals!M25)))),2))</f>
        <v>45.68</v>
      </c>
      <c r="N25" s="24">
        <f>if(count(Actuals!N$4:N$76) =0, 0,ROUND(IF(Actuals!N25="",M25,IF(Actuals!N25 &gt; M25,(0.2*(Actuals!N25-M25)+M25),(0.5*(M25+Actuals!N25)))),2))</f>
        <v>45.68</v>
      </c>
      <c r="O25" s="24">
        <f>if(count(Actuals!O$4:O$76) =0, 0,ROUND(IF(Actuals!O25="",N25,IF(Actuals!O25 &gt; N25,(0.2*(Actuals!O25-N25)+N25),(0.5*(N25+Actuals!O25)))),2))</f>
        <v>45.68</v>
      </c>
      <c r="P25" s="24">
        <f>if(count(Actuals!P$4:P$76) =0, 0,ROUND(IF(Actuals!P25="",O25,IF(Actuals!P25 &gt; O25,(0.2*(Actuals!P25-O25)+O25),(0.5*(O25+Actuals!P25)))),2))</f>
        <v>45.68</v>
      </c>
      <c r="Q25" s="24">
        <f>if(count(Actuals!Q$4:Q$76) =0, 0,ROUND(IF(Actuals!Q25="",P25,IF(Actuals!Q25 &gt; P25,(0.2*(Actuals!Q25-P25)+P25),(0.5*(P25+Actuals!Q25)))),2))</f>
        <v>45.68</v>
      </c>
      <c r="R25" s="24">
        <f>if(count(Actuals!R$4:R$65) =0, 0,ROUND(IF(Actuals!R25="",Q25,IF(Actuals!R25 &gt; Q25,(0.2*(Actuals!R25-Q25)+Q25),(0.5*(Q25+Actuals!R25)))),2))</f>
        <v>0</v>
      </c>
    </row>
    <row r="26">
      <c r="A26" s="13" t="s">
        <v>65</v>
      </c>
      <c r="B26" s="24">
        <v>45.4</v>
      </c>
      <c r="C26" s="24">
        <f>if(count(Actuals!C$4:C$76) =0, 0,ROUND(IF(Actuals!C26="",B26,IF(Actuals!C26 &gt; B26,(0.2*(Actuals!C26-B26)+B26),(0.5*(B26+Actuals!C26)))),2))</f>
        <v>45.4</v>
      </c>
      <c r="D26" s="24">
        <f>if(count(Actuals!D$4:D$76) =0, 0,ROUND(IF(Actuals!D26="",C26,IF(Actuals!D26 &gt; C26,(0.2*(Actuals!D26-C26)+C26),(0.5*(C26+Actuals!D26)))),2))</f>
        <v>45.4</v>
      </c>
      <c r="E26" s="24">
        <f>if(count(Actuals!E$4:E$76) =0, 0,ROUND(IF(Actuals!E26="",D26,IF(Actuals!E26 &gt; D26,(0.2*(Actuals!E26-D26)+D26),(0.5*(D26+Actuals!E26)))),2))</f>
        <v>45.4</v>
      </c>
      <c r="F26" s="24">
        <f>if(count(Actuals!F$4:F$76) =0, 0,ROUND(IF(Actuals!F26="",E26,IF(Actuals!F26 &gt; E26,(0.2*(Actuals!F26-E26)+E26),(0.5*(E26+Actuals!F26)))),2))</f>
        <v>45.4</v>
      </c>
      <c r="G26" s="24">
        <f>if(count(Actuals!G$4:G$76) =0, 0,ROUND(IF(Actuals!G26="",F26,IF(Actuals!G26 &gt; F26,(0.2*(Actuals!G26-F26)+F26),(0.5*(F26+Actuals!G26)))),2))</f>
        <v>45.4</v>
      </c>
      <c r="H26" s="24">
        <f>if(count(Actuals!H$4:H$76) =0, 0,ROUND(IF(Actuals!H26="",G26,IF(Actuals!H26 &gt; G26,(0.2*(Actuals!H26-G26)+G26),(0.5*(G26+Actuals!H26)))),2))</f>
        <v>45.4</v>
      </c>
      <c r="I26" s="24">
        <f>if(count(Actuals!I$4:I$76) =0, 0,ROUND(IF(Actuals!I26="",H26,IF(Actuals!I26 &gt; H26,(0.2*(Actuals!I26-H26)+H26),(0.5*(H26+Actuals!I26)))),2))</f>
        <v>45.4</v>
      </c>
      <c r="J26" s="24">
        <f>if(count(Actuals!J$4:J$76) =0, 0,ROUND(IF(Actuals!J26="",I26,IF(Actuals!J26 &gt; I26,(0.2*(Actuals!J26-I26)+I26),(0.5*(I26+Actuals!J26)))),2))</f>
        <v>45.4</v>
      </c>
      <c r="K26" s="24">
        <f>if(count(Actuals!K$4:K$76) =0, 0,ROUND(IF(Actuals!K26="",J26,IF(Actuals!K26 &gt; J26,(0.2*(Actuals!K26-J26)+J26),(0.5*(J26+Actuals!K26)))),2))</f>
        <v>45.4</v>
      </c>
      <c r="L26" s="24">
        <f>if(count(Actuals!L$4:L$76) =0, 0,ROUND(IF(Actuals!L26="",K26,IF(Actuals!L26 &gt; K26,(0.2*(Actuals!L26-K26)+K26),(0.5*(K26+Actuals!L26)))),2))</f>
        <v>45.4</v>
      </c>
      <c r="M26" s="24">
        <f>if(count(Actuals!M$4:M$76) =0, 0,ROUND(IF(Actuals!M26="",L26,IF(Actuals!M26 &gt; L26,(0.2*(Actuals!M26-L26)+L26),(0.5*(L26+Actuals!M26)))),2))</f>
        <v>45.4</v>
      </c>
      <c r="N26" s="24">
        <f>if(count(Actuals!N$4:N$76) =0, 0,ROUND(IF(Actuals!N26="",M26,IF(Actuals!N26 &gt; M26,(0.2*(Actuals!N26-M26)+M26),(0.5*(M26+Actuals!N26)))),2))</f>
        <v>45.4</v>
      </c>
      <c r="O26" s="24">
        <f>if(count(Actuals!O$4:O$76) =0, 0,ROUND(IF(Actuals!O26="",N26,IF(Actuals!O26 &gt; N26,(0.2*(Actuals!O26-N26)+N26),(0.5*(N26+Actuals!O26)))),2))</f>
        <v>45.4</v>
      </c>
      <c r="P26" s="24">
        <f>if(count(Actuals!P$4:P$76) =0, 0,ROUND(IF(Actuals!P26="",O26,IF(Actuals!P26 &gt; O26,(0.2*(Actuals!P26-O26)+O26),(0.5*(O26+Actuals!P26)))),2))</f>
        <v>45.4</v>
      </c>
      <c r="Q26" s="24">
        <f>if(count(Actuals!Q$4:Q$76) =0, 0,ROUND(IF(Actuals!Q26="",P26,IF(Actuals!Q26 &gt; P26,(0.2*(Actuals!Q26-P26)+P26),(0.5*(P26+Actuals!Q26)))),2))</f>
        <v>45.4</v>
      </c>
      <c r="R26" s="24">
        <f>if(count(Actuals!R$4:R$65) =0, 0,ROUND(IF(Actuals!R26="",Q26,IF(Actuals!R26 &gt; Q26,(0.2*(Actuals!R26-Q26)+Q26),(0.5*(Q26+Actuals!R26)))),2))</f>
        <v>0</v>
      </c>
    </row>
    <row r="27">
      <c r="A27" s="13" t="s">
        <v>209</v>
      </c>
      <c r="B27" s="24">
        <v>51.6</v>
      </c>
      <c r="C27" s="24">
        <f>if(count(Actuals!C$4:C$76) =0, 0,ROUND(IF(Actuals!C27="",B27,IF(Actuals!C27 &gt; B27,(0.2*(Actuals!C27-B27)+B27),(0.5*(B27+Actuals!C27)))),2))</f>
        <v>51.6</v>
      </c>
      <c r="D27" s="24">
        <f>if(count(Actuals!D$4:D$76) =0, 0,ROUND(IF(Actuals!D27="",C27,IF(Actuals!D27 &gt; C27,(0.2*(Actuals!D27-C27)+C27),(0.5*(C27+Actuals!D27)))),2))</f>
        <v>51.6</v>
      </c>
      <c r="E27" s="24">
        <f>if(count(Actuals!E$4:E$76) =0, 0,ROUND(IF(Actuals!E27="",D27,IF(Actuals!E27 &gt; D27,(0.2*(Actuals!E27-D27)+D27),(0.5*(D27+Actuals!E27)))),2))</f>
        <v>51.6</v>
      </c>
      <c r="F27" s="24">
        <f>if(count(Actuals!F$4:F$76) =0, 0,ROUND(IF(Actuals!F27="",E27,IF(Actuals!F27 &gt; E27,(0.2*(Actuals!F27-E27)+E27),(0.5*(E27+Actuals!F27)))),2))</f>
        <v>51.6</v>
      </c>
      <c r="G27" s="24">
        <f>if(count(Actuals!G$4:G$76) =0, 0,ROUND(IF(Actuals!G27="",F27,IF(Actuals!G27 &gt; F27,(0.2*(Actuals!G27-F27)+F27),(0.5*(F27+Actuals!G27)))),2))</f>
        <v>51.6</v>
      </c>
      <c r="H27" s="24">
        <f>if(count(Actuals!H$4:H$76) =0, 0,ROUND(IF(Actuals!H27="",G27,IF(Actuals!H27 &gt; G27,(0.2*(Actuals!H27-G27)+G27),(0.5*(G27+Actuals!H27)))),2))</f>
        <v>51.6</v>
      </c>
      <c r="I27" s="24">
        <f>if(count(Actuals!I$4:I$76) =0, 0,ROUND(IF(Actuals!I27="",H27,IF(Actuals!I27 &gt; H27,(0.2*(Actuals!I27-H27)+H27),(0.5*(H27+Actuals!I27)))),2))</f>
        <v>51.6</v>
      </c>
      <c r="J27" s="24">
        <f>if(count(Actuals!J$4:J$76) =0, 0,ROUND(IF(Actuals!J27="",I27,IF(Actuals!J27 &gt; I27,(0.2*(Actuals!J27-I27)+I27),(0.5*(I27+Actuals!J27)))),2))</f>
        <v>51.6</v>
      </c>
      <c r="K27" s="24">
        <f>if(count(Actuals!K$4:K$76) =0, 0,ROUND(IF(Actuals!K27="",J27,IF(Actuals!K27 &gt; J27,(0.2*(Actuals!K27-J27)+J27),(0.5*(J27+Actuals!K27)))),2))</f>
        <v>51.6</v>
      </c>
      <c r="L27" s="24">
        <f>if(count(Actuals!L$4:L$76) =0, 0,ROUND(IF(Actuals!L27="",K27,IF(Actuals!L27 &gt; K27,(0.2*(Actuals!L27-K27)+K27),(0.5*(K27+Actuals!L27)))),2))</f>
        <v>51.6</v>
      </c>
      <c r="M27" s="24">
        <f>if(count(Actuals!M$4:M$76) =0, 0,ROUND(IF(Actuals!M27="",L27,IF(Actuals!M27 &gt; L27,(0.2*(Actuals!M27-L27)+L27),(0.5*(L27+Actuals!M27)))),2))</f>
        <v>51.6</v>
      </c>
      <c r="N27" s="24">
        <f>if(count(Actuals!N$4:N$76) =0, 0,ROUND(IF(Actuals!N27="",M27,IF(Actuals!N27 &gt; M27,(0.2*(Actuals!N27-M27)+M27),(0.5*(M27+Actuals!N27)))),2))</f>
        <v>51.6</v>
      </c>
      <c r="O27" s="24">
        <f>if(count(Actuals!O$4:O$76) =0, 0,ROUND(IF(Actuals!O27="",N27,IF(Actuals!O27 &gt; N27,(0.2*(Actuals!O27-N27)+N27),(0.5*(N27+Actuals!O27)))),2))</f>
        <v>51.6</v>
      </c>
      <c r="P27" s="24">
        <f>if(count(Actuals!P$4:P$76) =0, 0,ROUND(IF(Actuals!P27="",O27,IF(Actuals!P27 &gt; O27,(0.2*(Actuals!P27-O27)+O27),(0.5*(O27+Actuals!P27)))),2))</f>
        <v>51.6</v>
      </c>
      <c r="Q27" s="24">
        <f>if(count(Actuals!Q$4:Q$76) =0, 0,ROUND(IF(Actuals!Q27="",P27,IF(Actuals!Q27 &gt; P27,(0.2*(Actuals!Q27-P27)+P27),(0.5*(P27+Actuals!Q27)))),2))</f>
        <v>51.6</v>
      </c>
      <c r="R27" s="24">
        <f>if(count(Actuals!R$4:R$65) =0, 0,ROUND(IF(Actuals!R27="",Q27,IF(Actuals!R27 &gt; Q27,(0.2*(Actuals!R27-Q27)+Q27),(0.5*(Q27+Actuals!R27)))),2))</f>
        <v>0</v>
      </c>
    </row>
    <row r="28">
      <c r="A28" s="13" t="s">
        <v>61</v>
      </c>
      <c r="B28" s="24">
        <v>51.88</v>
      </c>
      <c r="C28" s="24">
        <f>if(count(Actuals!C$4:C$76) =0, 0,ROUND(IF(Actuals!C28="",B28,IF(Actuals!C28 &gt; B28,(0.2*(Actuals!C28-B28)+B28),(0.5*(B28+Actuals!C28)))),2))</f>
        <v>52.1</v>
      </c>
      <c r="D28" s="24">
        <f>if(count(Actuals!D$4:D$76) =0, 0,ROUND(IF(Actuals!D28="",C28,IF(Actuals!D28 &gt; C28,(0.2*(Actuals!D28-C28)+C28),(0.5*(C28+Actuals!D28)))),2))</f>
        <v>52.48</v>
      </c>
      <c r="E28" s="24">
        <f>if(count(Actuals!E$4:E$76) =0, 0,ROUND(IF(Actuals!E28="",D28,IF(Actuals!E28 &gt; D28,(0.2*(Actuals!E28-D28)+D28),(0.5*(D28+Actuals!E28)))),2))</f>
        <v>52.58</v>
      </c>
      <c r="F28" s="24">
        <f>if(count(Actuals!F$4:F$76) =0, 0,ROUND(IF(Actuals!F28="",E28,IF(Actuals!F28 &gt; E28,(0.2*(Actuals!F28-E28)+E28),(0.5*(E28+Actuals!F28)))),2))</f>
        <v>52.58</v>
      </c>
      <c r="G28" s="24">
        <f>if(count(Actuals!G$4:G$76) =0, 0,ROUND(IF(Actuals!G28="",F28,IF(Actuals!G28 &gt; F28,(0.2*(Actuals!G28-F28)+F28),(0.5*(F28+Actuals!G28)))),2))</f>
        <v>52.58</v>
      </c>
      <c r="H28" s="24">
        <f>if(count(Actuals!H$4:H$76) =0, 0,ROUND(IF(Actuals!H28="",G28,IF(Actuals!H28 &gt; G28,(0.2*(Actuals!H28-G28)+G28),(0.5*(G28+Actuals!H28)))),2))</f>
        <v>52.58</v>
      </c>
      <c r="I28" s="24">
        <f>if(count(Actuals!I$4:I$76) =0, 0,ROUND(IF(Actuals!I28="",H28,IF(Actuals!I28 &gt; H28,(0.2*(Actuals!I28-H28)+H28),(0.5*(H28+Actuals!I28)))),2))</f>
        <v>52.58</v>
      </c>
      <c r="J28" s="24">
        <f>if(count(Actuals!J$4:J$76) =0, 0,ROUND(IF(Actuals!J28="",I28,IF(Actuals!J28 &gt; I28,(0.2*(Actuals!J28-I28)+I28),(0.5*(I28+Actuals!J28)))),2))</f>
        <v>52.58</v>
      </c>
      <c r="K28" s="24">
        <f>if(count(Actuals!K$4:K$76) =0, 0,ROUND(IF(Actuals!K28="",J28,IF(Actuals!K28 &gt; J28,(0.2*(Actuals!K28-J28)+J28),(0.5*(J28+Actuals!K28)))),2))</f>
        <v>52.58</v>
      </c>
      <c r="L28" s="24">
        <f>if(count(Actuals!L$4:L$76) =0, 0,ROUND(IF(Actuals!L28="",K28,IF(Actuals!L28 &gt; K28,(0.2*(Actuals!L28-K28)+K28),(0.5*(K28+Actuals!L28)))),2))</f>
        <v>52.58</v>
      </c>
      <c r="M28" s="24">
        <f>if(count(Actuals!M$4:M$76) =0, 0,ROUND(IF(Actuals!M28="",L28,IF(Actuals!M28 &gt; L28,(0.2*(Actuals!M28-L28)+L28),(0.5*(L28+Actuals!M28)))),2))</f>
        <v>52.58</v>
      </c>
      <c r="N28" s="24">
        <f>if(count(Actuals!N$4:N$76) =0, 0,ROUND(IF(Actuals!N28="",M28,IF(Actuals!N28 &gt; M28,(0.2*(Actuals!N28-M28)+M28),(0.5*(M28+Actuals!N28)))),2))</f>
        <v>52.58</v>
      </c>
      <c r="O28" s="24">
        <f>if(count(Actuals!O$4:O$76) =0, 0,ROUND(IF(Actuals!O28="",N28,IF(Actuals!O28 &gt; N28,(0.2*(Actuals!O28-N28)+N28),(0.5*(N28+Actuals!O28)))),2))</f>
        <v>52.58</v>
      </c>
      <c r="P28" s="24">
        <f>if(count(Actuals!P$4:P$76) =0, 0,ROUND(IF(Actuals!P28="",O28,IF(Actuals!P28 &gt; O28,(0.2*(Actuals!P28-O28)+O28),(0.5*(O28+Actuals!P28)))),2))</f>
        <v>52.58</v>
      </c>
      <c r="Q28" s="24">
        <f>if(count(Actuals!Q$4:Q$76) =0, 0,ROUND(IF(Actuals!Q28="",P28,IF(Actuals!Q28 &gt; P28,(0.2*(Actuals!Q28-P28)+P28),(0.5*(P28+Actuals!Q28)))),2))</f>
        <v>52.58</v>
      </c>
      <c r="R28" s="24">
        <f>if(count(Actuals!R$4:R$65) =0, 0,ROUND(IF(Actuals!R28="",Q28,IF(Actuals!R28 &gt; Q28,(0.2*(Actuals!R28-Q28)+Q28),(0.5*(Q28+Actuals!R28)))),2))</f>
        <v>0</v>
      </c>
    </row>
    <row r="29">
      <c r="A29" s="13" t="s">
        <v>210</v>
      </c>
      <c r="B29" s="24">
        <v>0.0</v>
      </c>
      <c r="C29" s="24">
        <f>if(count(Actuals!C$4:C$76) =0, 0,ROUND(IF(Actuals!C29="",B29,IF(Actuals!C29 &gt; B29,(0.2*(Actuals!C29-B29)+B29),(0.5*(B29+Actuals!C29)))),2))</f>
        <v>0</v>
      </c>
      <c r="D29" s="24">
        <f>if(count(Actuals!D$4:D$76) =0, 0,ROUND(IF(Actuals!D29="",C29,IF(Actuals!D29 &gt; C29,(0.2*(Actuals!D29-C29)+C29),(0.5*(C29+Actuals!D29)))),2))</f>
        <v>0</v>
      </c>
      <c r="E29" s="24">
        <f>if(count(Actuals!E$4:E$76) =0, 0,ROUND(IF(Actuals!E29="",D29,IF(Actuals!E29 &gt; D29,(0.2*(Actuals!E29-D29)+D29),(0.5*(D29+Actuals!E29)))),2))</f>
        <v>0</v>
      </c>
      <c r="F29" s="24">
        <f>if(count(Actuals!F$4:F$76) =0, 0,ROUND(IF(Actuals!F29="",E29,IF(Actuals!F29 &gt; E29,(0.2*(Actuals!F29-E29)+E29),(0.5*(E29+Actuals!F29)))),2))</f>
        <v>0</v>
      </c>
      <c r="G29" s="24">
        <f>if(count(Actuals!G$4:G$76) =0, 0,ROUND(IF(Actuals!G29="",F29,IF(Actuals!G29 &gt; F29,(0.2*(Actuals!G29-F29)+F29),(0.5*(F29+Actuals!G29)))),2))</f>
        <v>0</v>
      </c>
      <c r="H29" s="24">
        <f>if(count(Actuals!H$4:H$76) =0, 0,ROUND(IF(Actuals!H29="",G29,IF(Actuals!H29 &gt; G29,(0.2*(Actuals!H29-G29)+G29),(0.5*(G29+Actuals!H29)))),2))</f>
        <v>0</v>
      </c>
      <c r="I29" s="24">
        <f>if(count(Actuals!I$4:I$76) =0, 0,ROUND(IF(Actuals!I29="",H29,IF(Actuals!I29 &gt; H29,(0.2*(Actuals!I29-H29)+H29),(0.5*(H29+Actuals!I29)))),2))</f>
        <v>0</v>
      </c>
      <c r="J29" s="24">
        <f>if(count(Actuals!J$4:J$76) =0, 0,ROUND(IF(Actuals!J29="",I29,IF(Actuals!J29 &gt; I29,(0.2*(Actuals!J29-I29)+I29),(0.5*(I29+Actuals!J29)))),2))</f>
        <v>0</v>
      </c>
      <c r="K29" s="24">
        <f>if(count(Actuals!K$4:K$76) =0, 0,ROUND(IF(Actuals!K29="",J29,IF(Actuals!K29 &gt; J29,(0.2*(Actuals!K29-J29)+J29),(0.5*(J29+Actuals!K29)))),2))</f>
        <v>0</v>
      </c>
      <c r="L29" s="24">
        <f>if(count(Actuals!L$4:L$76) =0, 0,ROUND(IF(Actuals!L29="",K29,IF(Actuals!L29 &gt; K29,(0.2*(Actuals!L29-K29)+K29),(0.5*(K29+Actuals!L29)))),2))</f>
        <v>0</v>
      </c>
      <c r="M29" s="24">
        <f>if(count(Actuals!M$4:M$76) =0, 0,ROUND(IF(Actuals!M29="",L29,IF(Actuals!M29 &gt; L29,(0.2*(Actuals!M29-L29)+L29),(0.5*(L29+Actuals!M29)))),2))</f>
        <v>0</v>
      </c>
      <c r="N29" s="24">
        <f>if(count(Actuals!N$4:N$76) =0, 0,ROUND(IF(Actuals!N29="",M29,IF(Actuals!N29 &gt; M29,(0.2*(Actuals!N29-M29)+M29),(0.5*(M29+Actuals!N29)))),2))</f>
        <v>0</v>
      </c>
      <c r="O29" s="24">
        <f>if(count(Actuals!O$4:O$76) =0, 0,ROUND(IF(Actuals!O29="",N29,IF(Actuals!O29 &gt; N29,(0.2*(Actuals!O29-N29)+N29),(0.5*(N29+Actuals!O29)))),2))</f>
        <v>0</v>
      </c>
      <c r="P29" s="24">
        <f>if(count(Actuals!P$4:P$76) =0, 0,ROUND(IF(Actuals!P29="",O29,IF(Actuals!P29 &gt; O29,(0.2*(Actuals!P29-O29)+O29),(0.5*(O29+Actuals!P29)))),2))</f>
        <v>0</v>
      </c>
      <c r="Q29" s="24">
        <f>if(count(Actuals!Q$4:Q$76) =0, 0,ROUND(IF(Actuals!Q29="",P29,IF(Actuals!Q29 &gt; P29,(0.2*(Actuals!Q29-P29)+P29),(0.5*(P29+Actuals!Q29)))),2))</f>
        <v>0</v>
      </c>
      <c r="R29" s="24">
        <f>if(count(Actuals!R$4:R$65) =0, 0,ROUND(IF(Actuals!R29="",Q29,IF(Actuals!R29 &gt; Q29,(0.2*(Actuals!R29-Q29)+Q29),(0.5*(Q29+Actuals!R29)))),2))</f>
        <v>0</v>
      </c>
    </row>
    <row r="30">
      <c r="A30" s="13" t="s">
        <v>55</v>
      </c>
      <c r="B30" s="24">
        <v>39.41</v>
      </c>
      <c r="C30" s="24">
        <f>if(count(Actuals!C$4:C$76) =0, 0,ROUND(IF(Actuals!C30="",B30,IF(Actuals!C30 &gt; B30,(0.2*(Actuals!C30-B30)+B30),(0.5*(B30+Actuals!C30)))),2))</f>
        <v>38.71</v>
      </c>
      <c r="D30" s="24">
        <f>if(count(Actuals!D$4:D$76) =0, 0,ROUND(IF(Actuals!D30="",C30,IF(Actuals!D30 &gt; C30,(0.2*(Actuals!D30-C30)+C30),(0.5*(C30+Actuals!D30)))),2))</f>
        <v>39.57</v>
      </c>
      <c r="E30" s="24">
        <f>if(count(Actuals!E$4:E$76) =0, 0,ROUND(IF(Actuals!E30="",D30,IF(Actuals!E30 &gt; D30,(0.2*(Actuals!E30-D30)+D30),(0.5*(D30+Actuals!E30)))),2))</f>
        <v>39.66</v>
      </c>
      <c r="F30" s="24">
        <f>if(count(Actuals!F$4:F$76) =0, 0,ROUND(IF(Actuals!F30="",E30,IF(Actuals!F30 &gt; E30,(0.2*(Actuals!F30-E30)+E30),(0.5*(E30+Actuals!F30)))),2))</f>
        <v>39.66</v>
      </c>
      <c r="G30" s="24">
        <f>if(count(Actuals!G$4:G$76) =0, 0,ROUND(IF(Actuals!G30="",F30,IF(Actuals!G30 &gt; F30,(0.2*(Actuals!G30-F30)+F30),(0.5*(F30+Actuals!G30)))),2))</f>
        <v>39.66</v>
      </c>
      <c r="H30" s="24">
        <f>if(count(Actuals!H$4:H$76) =0, 0,ROUND(IF(Actuals!H30="",G30,IF(Actuals!H30 &gt; G30,(0.2*(Actuals!H30-G30)+G30),(0.5*(G30+Actuals!H30)))),2))</f>
        <v>39.66</v>
      </c>
      <c r="I30" s="24">
        <f>if(count(Actuals!I$4:I$76) =0, 0,ROUND(IF(Actuals!I30="",H30,IF(Actuals!I30 &gt; H30,(0.2*(Actuals!I30-H30)+H30),(0.5*(H30+Actuals!I30)))),2))</f>
        <v>39.66</v>
      </c>
      <c r="J30" s="24">
        <f>if(count(Actuals!J$4:J$76) =0, 0,ROUND(IF(Actuals!J30="",I30,IF(Actuals!J30 &gt; I30,(0.2*(Actuals!J30-I30)+I30),(0.5*(I30+Actuals!J30)))),2))</f>
        <v>39.66</v>
      </c>
      <c r="K30" s="24">
        <f>if(count(Actuals!K$4:K$76) =0, 0,ROUND(IF(Actuals!K30="",J30,IF(Actuals!K30 &gt; J30,(0.2*(Actuals!K30-J30)+J30),(0.5*(J30+Actuals!K30)))),2))</f>
        <v>39.66</v>
      </c>
      <c r="L30" s="24">
        <f>if(count(Actuals!L$4:L$76) =0, 0,ROUND(IF(Actuals!L30="",K30,IF(Actuals!L30 &gt; K30,(0.2*(Actuals!L30-K30)+K30),(0.5*(K30+Actuals!L30)))),2))</f>
        <v>39.66</v>
      </c>
      <c r="M30" s="24">
        <f>if(count(Actuals!M$4:M$76) =0, 0,ROUND(IF(Actuals!M30="",L30,IF(Actuals!M30 &gt; L30,(0.2*(Actuals!M30-L30)+L30),(0.5*(L30+Actuals!M30)))),2))</f>
        <v>39.66</v>
      </c>
      <c r="N30" s="24">
        <f>if(count(Actuals!N$4:N$76) =0, 0,ROUND(IF(Actuals!N30="",M30,IF(Actuals!N30 &gt; M30,(0.2*(Actuals!N30-M30)+M30),(0.5*(M30+Actuals!N30)))),2))</f>
        <v>39.66</v>
      </c>
      <c r="O30" s="24">
        <f>if(count(Actuals!O$4:O$76) =0, 0,ROUND(IF(Actuals!O30="",N30,IF(Actuals!O30 &gt; N30,(0.2*(Actuals!O30-N30)+N30),(0.5*(N30+Actuals!O30)))),2))</f>
        <v>39.66</v>
      </c>
      <c r="P30" s="24">
        <f>if(count(Actuals!P$4:P$76) =0, 0,ROUND(IF(Actuals!P30="",O30,IF(Actuals!P30 &gt; O30,(0.2*(Actuals!P30-O30)+O30),(0.5*(O30+Actuals!P30)))),2))</f>
        <v>39.66</v>
      </c>
      <c r="Q30" s="24">
        <f>if(count(Actuals!Q$4:Q$76) =0, 0,ROUND(IF(Actuals!Q30="",P30,IF(Actuals!Q30 &gt; P30,(0.2*(Actuals!Q30-P30)+P30),(0.5*(P30+Actuals!Q30)))),2))</f>
        <v>39.66</v>
      </c>
      <c r="R30" s="24">
        <f>if(count(Actuals!R$4:R$65) =0, 0,ROUND(IF(Actuals!R30="",Q30,IF(Actuals!R30 &gt; Q30,(0.2*(Actuals!R30-Q30)+Q30),(0.5*(Q30+Actuals!R30)))),2))</f>
        <v>0</v>
      </c>
    </row>
    <row r="31">
      <c r="A31" s="13" t="s">
        <v>211</v>
      </c>
      <c r="B31" s="24">
        <v>46.55</v>
      </c>
      <c r="C31" s="24">
        <f>if(count(Actuals!C$4:C$76) =0, 0,ROUND(IF(Actuals!C31="",B31,IF(Actuals!C31 &gt; B31,(0.2*(Actuals!C31-B31)+B31),(0.5*(B31+Actuals!C31)))),2))</f>
        <v>46.55</v>
      </c>
      <c r="D31" s="24">
        <f>if(count(Actuals!D$4:D$76) =0, 0,ROUND(IF(Actuals!D31="",C31,IF(Actuals!D31 &gt; C31,(0.2*(Actuals!D31-C31)+C31),(0.5*(C31+Actuals!D31)))),2))</f>
        <v>46.55</v>
      </c>
      <c r="E31" s="24">
        <f>if(count(Actuals!E$4:E$76) =0, 0,ROUND(IF(Actuals!E31="",D31,IF(Actuals!E31 &gt; D31,(0.2*(Actuals!E31-D31)+D31),(0.5*(D31+Actuals!E31)))),2))</f>
        <v>45.28</v>
      </c>
      <c r="F31" s="24">
        <f>if(count(Actuals!F$4:F$76) =0, 0,ROUND(IF(Actuals!F31="",E31,IF(Actuals!F31 &gt; E31,(0.2*(Actuals!F31-E31)+E31),(0.5*(E31+Actuals!F31)))),2))</f>
        <v>45.28</v>
      </c>
      <c r="G31" s="24">
        <f>if(count(Actuals!G$4:G$76) =0, 0,ROUND(IF(Actuals!G31="",F31,IF(Actuals!G31 &gt; F31,(0.2*(Actuals!G31-F31)+F31),(0.5*(F31+Actuals!G31)))),2))</f>
        <v>45.28</v>
      </c>
      <c r="H31" s="24">
        <f>if(count(Actuals!H$4:H$76) =0, 0,ROUND(IF(Actuals!H31="",G31,IF(Actuals!H31 &gt; G31,(0.2*(Actuals!H31-G31)+G31),(0.5*(G31+Actuals!H31)))),2))</f>
        <v>45.28</v>
      </c>
      <c r="I31" s="24">
        <f>if(count(Actuals!I$4:I$76) =0, 0,ROUND(IF(Actuals!I31="",H31,IF(Actuals!I31 &gt; H31,(0.2*(Actuals!I31-H31)+H31),(0.5*(H31+Actuals!I31)))),2))</f>
        <v>45.28</v>
      </c>
      <c r="J31" s="24">
        <f>if(count(Actuals!J$4:J$76) =0, 0,ROUND(IF(Actuals!J31="",I31,IF(Actuals!J31 &gt; I31,(0.2*(Actuals!J31-I31)+I31),(0.5*(I31+Actuals!J31)))),2))</f>
        <v>45.28</v>
      </c>
      <c r="K31" s="24">
        <f>if(count(Actuals!K$4:K$76) =0, 0,ROUND(IF(Actuals!K31="",J31,IF(Actuals!K31 &gt; J31,(0.2*(Actuals!K31-J31)+J31),(0.5*(J31+Actuals!K31)))),2))</f>
        <v>45.28</v>
      </c>
      <c r="L31" s="24">
        <f>if(count(Actuals!L$4:L$76) =0, 0,ROUND(IF(Actuals!L31="",K31,IF(Actuals!L31 &gt; K31,(0.2*(Actuals!L31-K31)+K31),(0.5*(K31+Actuals!L31)))),2))</f>
        <v>45.28</v>
      </c>
      <c r="M31" s="24">
        <f>if(count(Actuals!M$4:M$76) =0, 0,ROUND(IF(Actuals!M31="",L31,IF(Actuals!M31 &gt; L31,(0.2*(Actuals!M31-L31)+L31),(0.5*(L31+Actuals!M31)))),2))</f>
        <v>45.28</v>
      </c>
      <c r="N31" s="24">
        <f>if(count(Actuals!N$4:N$76) =0, 0,ROUND(IF(Actuals!N31="",M31,IF(Actuals!N31 &gt; M31,(0.2*(Actuals!N31-M31)+M31),(0.5*(M31+Actuals!N31)))),2))</f>
        <v>45.28</v>
      </c>
      <c r="O31" s="24">
        <f>if(count(Actuals!O$4:O$76) =0, 0,ROUND(IF(Actuals!O31="",N31,IF(Actuals!O31 &gt; N31,(0.2*(Actuals!O31-N31)+N31),(0.5*(N31+Actuals!O31)))),2))</f>
        <v>45.28</v>
      </c>
      <c r="P31" s="24">
        <f>if(count(Actuals!P$4:P$76) =0, 0,ROUND(IF(Actuals!P31="",O31,IF(Actuals!P31 &gt; O31,(0.2*(Actuals!P31-O31)+O31),(0.5*(O31+Actuals!P31)))),2))</f>
        <v>45.28</v>
      </c>
      <c r="Q31" s="24">
        <f>if(count(Actuals!Q$4:Q$76) =0, 0,ROUND(IF(Actuals!Q31="",P31,IF(Actuals!Q31 &gt; P31,(0.2*(Actuals!Q31-P31)+P31),(0.5*(P31+Actuals!Q31)))),2))</f>
        <v>45.28</v>
      </c>
      <c r="R31" s="24">
        <f>if(count(Actuals!R$4:R$65) =0, 0,ROUND(IF(Actuals!R31="",Q31,IF(Actuals!R31 &gt; Q31,(0.2*(Actuals!R31-Q31)+Q31),(0.5*(Q31+Actuals!R31)))),2))</f>
        <v>0</v>
      </c>
    </row>
    <row r="32">
      <c r="A32" s="13" t="s">
        <v>56</v>
      </c>
      <c r="B32" s="24">
        <v>41.37</v>
      </c>
      <c r="C32" s="24">
        <f>if(count(Actuals!C$4:C$76) =0, 0,ROUND(IF(Actuals!C32="",B32,IF(Actuals!C32 &gt; B32,(0.2*(Actuals!C32-B32)+B32),(0.5*(B32+Actuals!C32)))),2))</f>
        <v>41.37</v>
      </c>
      <c r="D32" s="24">
        <f>if(count(Actuals!D$4:D$76) =0, 0,ROUND(IF(Actuals!D32="",C32,IF(Actuals!D32 &gt; C32,(0.2*(Actuals!D32-C32)+C32),(0.5*(C32+Actuals!D32)))),2))</f>
        <v>41.37</v>
      </c>
      <c r="E32" s="24">
        <f>if(count(Actuals!E$4:E$76) =0, 0,ROUND(IF(Actuals!E32="",D32,IF(Actuals!E32 &gt; D32,(0.2*(Actuals!E32-D32)+D32),(0.5*(D32+Actuals!E32)))),2))</f>
        <v>41.37</v>
      </c>
      <c r="F32" s="24">
        <f>if(count(Actuals!F$4:F$76) =0, 0,ROUND(IF(Actuals!F32="",E32,IF(Actuals!F32 &gt; E32,(0.2*(Actuals!F32-E32)+E32),(0.5*(E32+Actuals!F32)))),2))</f>
        <v>41.37</v>
      </c>
      <c r="G32" s="24">
        <f>if(count(Actuals!G$4:G$76) =0, 0,ROUND(IF(Actuals!G33="",F32,IF(Actuals!G33 &gt; F32,(0.2*(Actuals!G33-F32)+F32),(0.5*(F32+Actuals!G33)))),2))</f>
        <v>41.37</v>
      </c>
      <c r="H32" s="24">
        <f>if(count(Actuals!H$4:H$76) =0, 0,ROUND(IF(Actuals!H32="",G32,IF(Actuals!H32 &gt; G32,(0.2*(Actuals!H32-G32)+G32),(0.5*(G32+Actuals!H32)))),2))</f>
        <v>41.37</v>
      </c>
      <c r="I32" s="24">
        <f>if(count(Actuals!I$4:I$76) =0, 0,ROUND(IF(Actuals!I32="",H32,IF(Actuals!I32 &gt; H32,(0.2*(Actuals!I32-H32)+H32),(0.5*(H32+Actuals!I32)))),2))</f>
        <v>41.37</v>
      </c>
      <c r="J32" s="24">
        <f>if(count(Actuals!J$4:J$76) =0, 0,ROUND(IF(Actuals!J32="",I32,IF(Actuals!J32 &gt; I32,(0.2*(Actuals!J32-I32)+I32),(0.5*(I32+Actuals!J32)))),2))</f>
        <v>41.37</v>
      </c>
      <c r="K32" s="24">
        <f>if(count(Actuals!K$4:K$76) =0, 0,ROUND(IF(Actuals!K32="",J32,IF(Actuals!K32 &gt; J32,(0.2*(Actuals!K32-J32)+J32),(0.5*(J32+Actuals!K32)))),2))</f>
        <v>41.37</v>
      </c>
      <c r="L32" s="24">
        <f>if(count(Actuals!L$4:L$76) =0, 0,ROUND(IF(Actuals!L32="",K32,IF(Actuals!L32 &gt; K32,(0.2*(Actuals!L32-K32)+K32),(0.5*(K32+Actuals!L32)))),2))</f>
        <v>41.37</v>
      </c>
      <c r="M32" s="24">
        <f>if(count(Actuals!M$4:M$76) =0, 0,ROUND(IF(Actuals!M32="",L32,IF(Actuals!M32 &gt; L32,(0.2*(Actuals!M32-L32)+L32),(0.5*(L32+Actuals!M32)))),2))</f>
        <v>41.37</v>
      </c>
      <c r="N32" s="24">
        <f>if(count(Actuals!N$4:N$76) =0, 0,ROUND(IF(Actuals!N32="",M32,IF(Actuals!N32 &gt; M32,(0.2*(Actuals!N32-M32)+M32),(0.5*(M32+Actuals!N32)))),2))</f>
        <v>41.37</v>
      </c>
      <c r="O32" s="24">
        <f>if(count(Actuals!O$4:O$76) =0, 0,ROUND(IF(Actuals!O32="",N32,IF(Actuals!O32 &gt; N32,(0.2*(Actuals!O32-N32)+N32),(0.5*(N32+Actuals!O32)))),2))</f>
        <v>41.37</v>
      </c>
      <c r="P32" s="24">
        <f>if(count(Actuals!P$4:P$76) =0, 0,ROUND(IF(Actuals!P32="",O32,IF(Actuals!P32 &gt; O32,(0.2*(Actuals!P32-O32)+O32),(0.5*(O32+Actuals!P32)))),2))</f>
        <v>41.37</v>
      </c>
      <c r="Q32" s="24">
        <f>if(count(Actuals!Q$4:Q$76) =0, 0,ROUND(IF(Actuals!Q32="",P32,IF(Actuals!Q32 &gt; P32,(0.2*(Actuals!Q32-P32)+P32),(0.5*(P32+Actuals!Q32)))),2))</f>
        <v>41.37</v>
      </c>
      <c r="R32" s="24">
        <f>if(count(Actuals!R$4:R$65) =0, 0,ROUND(IF(Actuals!R32="",Q32,IF(Actuals!R32 &gt; Q32,(0.2*(Actuals!R32-Q32)+Q32),(0.5*(Q32+Actuals!R32)))),2))</f>
        <v>0</v>
      </c>
    </row>
    <row r="33">
      <c r="A33" s="13" t="s">
        <v>212</v>
      </c>
      <c r="B33" s="24">
        <v>45.0</v>
      </c>
      <c r="C33" s="24">
        <f>if(count(Actuals!C$4:C$76) =0, 0,ROUND(IF(Actuals!C33="",B33,IF(Actuals!C33 &gt; B33,(0.2*(Actuals!C33-B33)+B33),(0.5*(B33+Actuals!C33)))),2))</f>
        <v>45</v>
      </c>
      <c r="D33" s="24">
        <f>if(count(Actuals!D$4:D$76) =0, 0,ROUND(IF(Actuals!D33="",C33,IF(Actuals!D33 &gt; C33,(0.2*(Actuals!D33-C33)+C33),(0.5*(C33+Actuals!D33)))),2))</f>
        <v>45</v>
      </c>
      <c r="E33" s="24">
        <f>if(count(Actuals!E$4:E$76) =0, 0,ROUND(IF(Actuals!E33="",D33,IF(Actuals!E33 &gt; D33,(0.2*(Actuals!E33-D33)+D33),(0.5*(D33+Actuals!E33)))),2))</f>
        <v>45</v>
      </c>
      <c r="F33" s="24">
        <f>if(count(Actuals!F$4:F$76) =0, 0,ROUND(IF(Actuals!F33="",E33,IF(Actuals!F33 &gt; E33,(0.2*(Actuals!F33-E33)+E33),(0.5*(E33+Actuals!F33)))),2))</f>
        <v>45</v>
      </c>
      <c r="G33" s="24">
        <f>if(count(Actuals!G$4:G$76) =0, 0,ROUND(IF(Actuals!G34="",F33,IF(Actuals!G34 &gt; F33,(0.2*(Actuals!G34-F33)+F33),(0.5*(F33+Actuals!G34)))),2))</f>
        <v>45</v>
      </c>
      <c r="H33" s="24">
        <f>if(count(Actuals!H$4:H$76) =0, 0,ROUND(IF(Actuals!H33="",G33,IF(Actuals!H33 &gt; G33,(0.2*(Actuals!H33-G33)+G33),(0.5*(G33+Actuals!H33)))),2))</f>
        <v>45</v>
      </c>
      <c r="I33" s="24">
        <f>if(count(Actuals!I$4:I$76) =0, 0,ROUND(IF(Actuals!I33="",H33,IF(Actuals!I33 &gt; H33,(0.2*(Actuals!I33-H33)+H33),(0.5*(H33+Actuals!I33)))),2))</f>
        <v>45</v>
      </c>
      <c r="J33" s="24">
        <f>if(count(Actuals!J$4:J$76) =0, 0,ROUND(IF(Actuals!J33="",I33,IF(Actuals!J33 &gt; I33,(0.2*(Actuals!J33-I33)+I33),(0.5*(I33+Actuals!J33)))),2))</f>
        <v>45</v>
      </c>
      <c r="K33" s="24">
        <f>if(count(Actuals!K$4:K$76) =0, 0,ROUND(IF(Actuals!K33="",J33,IF(Actuals!K33 &gt; J33,(0.2*(Actuals!K33-J33)+J33),(0.5*(J33+Actuals!K33)))),2))</f>
        <v>45</v>
      </c>
      <c r="L33" s="24">
        <f>if(count(Actuals!L$4:L$76) =0, 0,ROUND(IF(Actuals!L33="",K33,IF(Actuals!L33 &gt; K33,(0.2*(Actuals!L33-K33)+K33),(0.5*(K33+Actuals!L33)))),2))</f>
        <v>45</v>
      </c>
      <c r="M33" s="24">
        <f>if(count(Actuals!M$4:M$76) =0, 0,ROUND(IF(Actuals!M33="",L33,IF(Actuals!M33 &gt; L33,(0.2*(Actuals!M33-L33)+L33),(0.5*(L33+Actuals!M33)))),2))</f>
        <v>45</v>
      </c>
      <c r="N33" s="24">
        <f>if(count(Actuals!N$4:N$76) =0, 0,ROUND(IF(Actuals!N33="",M33,IF(Actuals!N33 &gt; M33,(0.2*(Actuals!N33-M33)+M33),(0.5*(M33+Actuals!N33)))),2))</f>
        <v>45</v>
      </c>
      <c r="O33" s="24">
        <f>if(count(Actuals!O$4:O$76) =0, 0,ROUND(IF(Actuals!O33="",N33,IF(Actuals!O33 &gt; N33,(0.2*(Actuals!O33-N33)+N33),(0.5*(N33+Actuals!O33)))),2))</f>
        <v>45</v>
      </c>
      <c r="P33" s="24">
        <f>if(count(Actuals!P$4:P$76) =0, 0,ROUND(IF(Actuals!P33="",O33,IF(Actuals!P33 &gt; O33,(0.2*(Actuals!P33-O33)+O33),(0.5*(O33+Actuals!P33)))),2))</f>
        <v>45</v>
      </c>
      <c r="Q33" s="24">
        <f>if(count(Actuals!Q$4:Q$76) =0, 0,ROUND(IF(Actuals!Q33="",P33,IF(Actuals!Q33 &gt; P33,(0.2*(Actuals!Q33-P33)+P33),(0.5*(P33+Actuals!Q33)))),2))</f>
        <v>45</v>
      </c>
      <c r="R33" s="24">
        <f>if(count(Actuals!R$4:R$65) =0, 0,ROUND(IF(Actuals!R33="",Q33,IF(Actuals!R33 &gt; Q33,(0.2*(Actuals!R33-Q33)+Q33),(0.5*(Q33+Actuals!R33)))),2))</f>
        <v>0</v>
      </c>
    </row>
    <row r="34">
      <c r="A34" s="13" t="s">
        <v>50</v>
      </c>
      <c r="B34" s="24">
        <v>35.24</v>
      </c>
      <c r="C34" s="24">
        <f>if(count(Actuals!C$4:C$76) =0, 0,ROUND(IF(Actuals!C34="",B34,IF(Actuals!C34 &gt; B34,(0.2*(Actuals!C34-B34)+B34),(0.5*(B34+Actuals!C34)))),2))</f>
        <v>35.24</v>
      </c>
      <c r="D34" s="24">
        <f>if(count(Actuals!D$4:D$76) =0, 0,ROUND(IF(Actuals!D34="",C34,IF(Actuals!D34 &gt; C34,(0.2*(Actuals!D34-C34)+C34),(0.5*(C34+Actuals!D34)))),2))</f>
        <v>35.24</v>
      </c>
      <c r="E34" s="24">
        <f>if(count(Actuals!E$4:E$76) =0, 0,ROUND(IF(Actuals!E34="",D34,IF(Actuals!E34 &gt; D34,(0.2*(Actuals!E34-D34)+D34),(0.5*(D34+Actuals!E34)))),2))</f>
        <v>35.24</v>
      </c>
      <c r="F34" s="24">
        <f>if(count(Actuals!F$4:F$76) =0, 0,ROUND(IF(Actuals!F34="",E34,IF(Actuals!F34 &gt; E34,(0.2*(Actuals!F34-E34)+E34),(0.5*(E34+Actuals!F34)))),2))</f>
        <v>35.24</v>
      </c>
      <c r="G34" s="24">
        <f>if(count(Actuals!G$4:G$76) =0, 0,ROUND(IF(Actuals!G34="",F34,IF(Actuals!G34 &gt; F34,(0.2*(Actuals!G34-F34)+F34),(0.5*(F34+Actuals!G34)))),2))</f>
        <v>35.24</v>
      </c>
      <c r="H34" s="24">
        <f>if(count(Actuals!H$4:H$76) =0, 0,ROUND(IF(Actuals!H34="",G34,IF(Actuals!H34 &gt; G34,(0.2*(Actuals!H34-G34)+G34),(0.5*(G34+Actuals!H34)))),2))</f>
        <v>35.24</v>
      </c>
      <c r="I34" s="24">
        <f>if(count(Actuals!I$4:I$76) =0, 0,ROUND(IF(Actuals!I34="",H34,IF(Actuals!I34 &gt; H34,(0.2*(Actuals!I34-H34)+H34),(0.5*(H34+Actuals!I34)))),2))</f>
        <v>35.24</v>
      </c>
      <c r="J34" s="24">
        <f>if(count(Actuals!J$4:J$76) =0, 0,ROUND(IF(Actuals!J34="",I34,IF(Actuals!J34 &gt; I34,(0.2*(Actuals!J34-I34)+I34),(0.5*(I34+Actuals!J34)))),2))</f>
        <v>35.24</v>
      </c>
      <c r="K34" s="24">
        <f>if(count(Actuals!K$4:K$76) =0, 0,ROUND(IF(Actuals!K34="",J34,IF(Actuals!K34 &gt; J34,(0.2*(Actuals!K34-J34)+J34),(0.5*(J34+Actuals!K34)))),2))</f>
        <v>35.24</v>
      </c>
      <c r="L34" s="24">
        <f>if(count(Actuals!L$4:L$76) =0, 0,ROUND(IF(Actuals!L34="",K34,IF(Actuals!L34 &gt; K34,(0.2*(Actuals!L34-K34)+K34),(0.5*(K34+Actuals!L34)))),2))</f>
        <v>35.24</v>
      </c>
      <c r="M34" s="24">
        <f>if(count(Actuals!M$4:M$76) =0, 0,ROUND(IF(Actuals!M34="",L34,IF(Actuals!M34 &gt; L34,(0.2*(Actuals!M34-L34)+L34),(0.5*(L34+Actuals!M34)))),2))</f>
        <v>35.24</v>
      </c>
      <c r="N34" s="24">
        <f>if(count(Actuals!N$4:N$76) =0, 0,ROUND(IF(Actuals!N34="",M34,IF(Actuals!N34 &gt; M34,(0.2*(Actuals!N34-M34)+M34),(0.5*(M34+Actuals!N34)))),2))</f>
        <v>35.24</v>
      </c>
      <c r="O34" s="24">
        <f>if(count(Actuals!O$4:O$76) =0, 0,ROUND(IF(Actuals!O34="",N34,IF(Actuals!O34 &gt; N34,(0.2*(Actuals!O34-N34)+N34),(0.5*(N34+Actuals!O34)))),2))</f>
        <v>35.24</v>
      </c>
      <c r="P34" s="24">
        <f>if(count(Actuals!P$4:P$76) =0, 0,ROUND(IF(Actuals!P34="",O34,IF(Actuals!P34 &gt; O34,(0.2*(Actuals!P34-O34)+O34),(0.5*(O34+Actuals!P34)))),2))</f>
        <v>35.24</v>
      </c>
      <c r="Q34" s="24">
        <f>if(count(Actuals!Q$4:Q$76) =0, 0,ROUND(IF(Actuals!Q34="",P34,IF(Actuals!Q34 &gt; P34,(0.2*(Actuals!Q34-P34)+P34),(0.5*(P34+Actuals!Q34)))),2))</f>
        <v>35.24</v>
      </c>
      <c r="R34" s="24">
        <f>if(count(Actuals!R$4:R$65) =0, 0,ROUND(IF(Actuals!R34="",Q34,IF(Actuals!R34 &gt; Q34,(0.2*(Actuals!R34-Q34)+Q34),(0.5*(Q34+Actuals!R34)))),2))</f>
        <v>0</v>
      </c>
    </row>
    <row r="35">
      <c r="A35" s="13" t="s">
        <v>52</v>
      </c>
      <c r="B35" s="24">
        <v>39.68</v>
      </c>
      <c r="C35" s="24">
        <f>if(count(Actuals!C$4:C$76) =0, 0,ROUND(IF(Actuals!C35="",B35,IF(Actuals!C35 &gt; B35,(0.2*(Actuals!C35-B35)+B35),(0.5*(B35+Actuals!C35)))),2))</f>
        <v>39.68</v>
      </c>
      <c r="D35" s="24">
        <f>if(count(Actuals!D$4:D$76) =0, 0,ROUND(IF(Actuals!D35="",C35,IF(Actuals!D35 &gt; C35,(0.2*(Actuals!D35-C35)+C35),(0.5*(C35+Actuals!D35)))),2))</f>
        <v>39.68</v>
      </c>
      <c r="E35" s="24">
        <f>if(count(Actuals!E$4:E$76) =0, 0,ROUND(IF(Actuals!E35="",D35,IF(Actuals!E35 &gt; D35,(0.2*(Actuals!E35-D35)+D35),(0.5*(D35+Actuals!E35)))),2))</f>
        <v>39.68</v>
      </c>
      <c r="F35" s="24">
        <f>if(count(Actuals!F$4:F$76) =0, 0,ROUND(IF(Actuals!F35="",E35,IF(Actuals!F35 &gt; E35,(0.2*(Actuals!F35-E35)+E35),(0.5*(E35+Actuals!F35)))),2))</f>
        <v>39.68</v>
      </c>
      <c r="G35" s="24">
        <f>if(count(Actuals!G$4:G$76) =0, 0,ROUND(IF(Actuals!G35="",F35,IF(Actuals!G35 &gt; F35,(0.2*(Actuals!G35-F35)+F35),(0.5*(F35+Actuals!G35)))),2))</f>
        <v>39.68</v>
      </c>
      <c r="H35" s="24">
        <f>if(count(Actuals!H$4:H$76) =0, 0,ROUND(IF(Actuals!H35="",G35,IF(Actuals!H35 &gt; G35,(0.2*(Actuals!H35-G35)+G35),(0.5*(G35+Actuals!H35)))),2))</f>
        <v>39.68</v>
      </c>
      <c r="I35" s="24">
        <f>if(count(Actuals!I$4:I$76) =0, 0,ROUND(IF(Actuals!I35="",H35,IF(Actuals!I35 &gt; H35,(0.2*(Actuals!I35-H35)+H35),(0.5*(H35+Actuals!I35)))),2))</f>
        <v>39.68</v>
      </c>
      <c r="J35" s="24">
        <f>if(count(Actuals!J$4:J$76) =0, 0,ROUND(IF(Actuals!J35="",I35,IF(Actuals!J35 &gt; I35,(0.2*(Actuals!J35-I35)+I35),(0.5*(I35+Actuals!J35)))),2))</f>
        <v>39.68</v>
      </c>
      <c r="K35" s="24">
        <f>if(count(Actuals!K$4:K$76) =0, 0,ROUND(IF(Actuals!K35="",J35,IF(Actuals!K35 &gt; J35,(0.2*(Actuals!K35-J35)+J35),(0.5*(J35+Actuals!K35)))),2))</f>
        <v>39.68</v>
      </c>
      <c r="L35" s="24">
        <f>if(count(Actuals!L$4:L$76) =0, 0,ROUND(IF(Actuals!L35="",K35,IF(Actuals!L35 &gt; K35,(0.2*(Actuals!L35-K35)+K35),(0.5*(K35+Actuals!L35)))),2))</f>
        <v>39.68</v>
      </c>
      <c r="M35" s="24">
        <f>if(count(Actuals!M$4:M$76) =0, 0,ROUND(IF(Actuals!M35="",L35,IF(Actuals!M35 &gt; L35,(0.2*(Actuals!M35-L35)+L35),(0.5*(L35+Actuals!M35)))),2))</f>
        <v>39.68</v>
      </c>
      <c r="N35" s="24">
        <f>if(count(Actuals!N$4:N$76) =0, 0,ROUND(IF(Actuals!N35="",M35,IF(Actuals!N35 &gt; M35,(0.2*(Actuals!N35-M35)+M35),(0.5*(M35+Actuals!N35)))),2))</f>
        <v>39.68</v>
      </c>
      <c r="O35" s="24">
        <f>if(count(Actuals!O$4:O$76) =0, 0,ROUND(IF(Actuals!O35="",N35,IF(Actuals!O35 &gt; N35,(0.2*(Actuals!O35-N35)+N35),(0.5*(N35+Actuals!O35)))),2))</f>
        <v>39.68</v>
      </c>
      <c r="P35" s="24">
        <f>if(count(Actuals!P$4:P$76) =0, 0,ROUND(IF(Actuals!P35="",O35,IF(Actuals!P35 &gt; O35,(0.2*(Actuals!P35-O35)+O35),(0.5*(O35+Actuals!P35)))),2))</f>
        <v>39.68</v>
      </c>
      <c r="Q35" s="24">
        <f>if(count(Actuals!Q$4:Q$76) =0, 0,ROUND(IF(Actuals!Q35="",P35,IF(Actuals!Q35 &gt; P35,(0.2*(Actuals!Q35-P35)+P35),(0.5*(P35+Actuals!Q35)))),2))</f>
        <v>39.68</v>
      </c>
      <c r="R35" s="24">
        <f>if(count(Actuals!R$4:R$65) =0, 0,ROUND(IF(Actuals!R35="",Q35,IF(Actuals!R35 &gt; Q35,(0.2*(Actuals!R35-Q35)+Q35),(0.5*(Q35+Actuals!R35)))),2))</f>
        <v>0</v>
      </c>
    </row>
    <row r="36">
      <c r="A36" s="13" t="s">
        <v>51</v>
      </c>
      <c r="B36" s="24">
        <v>40.06</v>
      </c>
      <c r="C36" s="24">
        <f>if(count(Actuals!C$4:C$76) =0, 0,ROUND(IF(Actuals!C36="",B36,IF(Actuals!C36 &gt; B36,(0.2*(Actuals!C36-B36)+B36),(0.5*(B36+Actuals!C36)))),2))</f>
        <v>40.06</v>
      </c>
      <c r="D36" s="24">
        <f>if(count(Actuals!D$4:D$76) =0, 0,ROUND(IF(Actuals!D36="",C36,IF(Actuals!D36 &gt; C36,(0.2*(Actuals!D36-C36)+C36),(0.5*(C36+Actuals!D36)))),2))</f>
        <v>40.06</v>
      </c>
      <c r="E36" s="24">
        <f>if(count(Actuals!E$4:E$76) =0, 0,ROUND(IF(Actuals!E36="",D36,IF(Actuals!E36 &gt; D36,(0.2*(Actuals!E36-D36)+D36),(0.5*(D36+Actuals!E36)))),2))</f>
        <v>40.06</v>
      </c>
      <c r="F36" s="24">
        <f>if(count(Actuals!F$4:F$76) =0, 0,ROUND(IF(Actuals!F36="",E36,IF(Actuals!F36 &gt; E36,(0.2*(Actuals!F36-E36)+E36),(0.5*(E36+Actuals!F36)))),2))</f>
        <v>40.06</v>
      </c>
      <c r="G36" s="24">
        <f>if(count(Actuals!G$4:G$76) =0, 0,ROUND(IF(Actuals!G36="",F36,IF(Actuals!G36 &gt; F36,(0.2*(Actuals!G36-F36)+F36),(0.5*(F36+Actuals!G36)))),2))</f>
        <v>40.06</v>
      </c>
      <c r="H36" s="24">
        <f>if(count(Actuals!H$4:H$76) =0, 0,ROUND(IF(Actuals!H36="",G36,IF(Actuals!H36 &gt; G36,(0.2*(Actuals!H36-G36)+G36),(0.5*(G36+Actuals!H36)))),2))</f>
        <v>40.06</v>
      </c>
      <c r="I36" s="24">
        <f>if(count(Actuals!I$4:I$76) =0, 0,ROUND(IF(Actuals!I36="",H36,IF(Actuals!I36 &gt; H36,(0.2*(Actuals!I36-H36)+H36),(0.5*(H36+Actuals!I36)))),2))</f>
        <v>40.06</v>
      </c>
      <c r="J36" s="24">
        <f>if(count(Actuals!J$4:J$76) =0, 0,ROUND(IF(Actuals!J36="",I36,IF(Actuals!J36 &gt; I36,(0.2*(Actuals!J36-I36)+I36),(0.5*(I36+Actuals!J36)))),2))</f>
        <v>40.06</v>
      </c>
      <c r="K36" s="24">
        <f>if(count(Actuals!K$4:K$76) =0, 0,ROUND(IF(Actuals!K36="",J36,IF(Actuals!K36 &gt; J36,(0.2*(Actuals!K36-J36)+J36),(0.5*(J36+Actuals!K36)))),2))</f>
        <v>40.06</v>
      </c>
      <c r="L36" s="24">
        <f>if(count(Actuals!L$4:L$76) =0, 0,ROUND(IF(Actuals!L36="",K36,IF(Actuals!L36 &gt; K36,(0.2*(Actuals!L36-K36)+K36),(0.5*(K36+Actuals!L36)))),2))</f>
        <v>40.06</v>
      </c>
      <c r="M36" s="24">
        <f>if(count(Actuals!M$4:M$76) =0, 0,ROUND(IF(Actuals!M36="",L36,IF(Actuals!M36 &gt; L36,(0.2*(Actuals!M36-L36)+L36),(0.5*(L36+Actuals!M36)))),2))</f>
        <v>40.06</v>
      </c>
      <c r="N36" s="24">
        <f>if(count(Actuals!N$4:N$76) =0, 0,ROUND(IF(Actuals!N36="",M36,IF(Actuals!N36 &gt; M36,(0.2*(Actuals!N36-M36)+M36),(0.5*(M36+Actuals!N36)))),2))</f>
        <v>40.06</v>
      </c>
      <c r="O36" s="24">
        <f>if(count(Actuals!O$4:O$76) =0, 0,ROUND(IF(Actuals!O36="",N36,IF(Actuals!O36 &gt; N36,(0.2*(Actuals!O36-N36)+N36),(0.5*(N36+Actuals!O36)))),2))</f>
        <v>40.06</v>
      </c>
      <c r="P36" s="24">
        <f>if(count(Actuals!P$4:P$76) =0, 0,ROUND(IF(Actuals!P36="",O36,IF(Actuals!P36 &gt; O36,(0.2*(Actuals!P36-O36)+O36),(0.5*(O36+Actuals!P36)))),2))</f>
        <v>40.06</v>
      </c>
      <c r="Q36" s="24">
        <f>if(count(Actuals!Q$4:Q$76) =0, 0,ROUND(IF(Actuals!Q36="",P36,IF(Actuals!Q36 &gt; P36,(0.2*(Actuals!Q36-P36)+P36),(0.5*(P36+Actuals!Q36)))),2))</f>
        <v>40.06</v>
      </c>
      <c r="R36" s="24">
        <f>if(count(Actuals!R$4:R$65) =0, 0,ROUND(IF(Actuals!R36="",Q36,IF(Actuals!R36 &gt; Q36,(0.2*(Actuals!R36-Q36)+Q36),(0.5*(Q36+Actuals!R36)))),2))</f>
        <v>0</v>
      </c>
    </row>
    <row r="37">
      <c r="A37" s="13" t="s">
        <v>48</v>
      </c>
      <c r="B37" s="24">
        <v>35.17</v>
      </c>
      <c r="C37" s="24">
        <f>if(count(Actuals!C$4:C$76) =0, 0,ROUND(IF(Actuals!C37="",B37,IF(Actuals!C37 &gt; B37,(0.2*(Actuals!C37-B37)+B37),(0.5*(B37+Actuals!C37)))),2))</f>
        <v>35.34</v>
      </c>
      <c r="D37" s="24">
        <f>if(count(Actuals!D$4:D$76) =0, 0,ROUND(IF(Actuals!D37="",C37,IF(Actuals!D37 &gt; C37,(0.2*(Actuals!D37-C37)+C37),(0.5*(C37+Actuals!D37)))),2))</f>
        <v>35.34</v>
      </c>
      <c r="E37" s="24">
        <f>if(count(Actuals!E$4:E$76) =0, 0,ROUND(IF(Actuals!E37="",D37,IF(Actuals!E37 &gt; D37,(0.2*(Actuals!E37-D37)+D37),(0.5*(D37+Actuals!E37)))),2))</f>
        <v>35.34</v>
      </c>
      <c r="F37" s="24">
        <f>if(count(Actuals!F$4:F$76) =0, 0,ROUND(IF(Actuals!F37="",E37,IF(Actuals!F37 &gt; E37,(0.2*(Actuals!F37-E37)+E37),(0.5*(E37+Actuals!F37)))),2))</f>
        <v>35.34</v>
      </c>
      <c r="G37" s="24">
        <f>if(count(Actuals!G$4:G$76) =0, 0,ROUND(IF(Actuals!G37="",F37,IF(Actuals!G37 &gt; F37,(0.2*(Actuals!G37-F37)+F37),(0.5*(F37+Actuals!G37)))),2))</f>
        <v>35.34</v>
      </c>
      <c r="H37" s="24">
        <f>if(count(Actuals!H$4:H$76) =0, 0,ROUND(IF(Actuals!H37="",G37,IF(Actuals!H37 &gt; G37,(0.2*(Actuals!H37-G37)+G37),(0.5*(G37+Actuals!H37)))),2))</f>
        <v>35.34</v>
      </c>
      <c r="I37" s="24">
        <f>if(count(Actuals!I$4:I$76) =0, 0,ROUND(IF(Actuals!I37="",H37,IF(Actuals!I37 &gt; H37,(0.2*(Actuals!I37-H37)+H37),(0.5*(H37+Actuals!I37)))),2))</f>
        <v>35.34</v>
      </c>
      <c r="J37" s="24">
        <f>if(count(Actuals!J$4:J$76) =0, 0,ROUND(IF(Actuals!J37="",I37,IF(Actuals!J37 &gt; I37,(0.2*(Actuals!J37-I37)+I37),(0.5*(I37+Actuals!J37)))),2))</f>
        <v>35.34</v>
      </c>
      <c r="K37" s="24">
        <f>if(count(Actuals!K$4:K$76) =0, 0,ROUND(IF(Actuals!K37="",J37,IF(Actuals!K37 &gt; J37,(0.2*(Actuals!K37-J37)+J37),(0.5*(J37+Actuals!K37)))),2))</f>
        <v>35.34</v>
      </c>
      <c r="L37" s="24">
        <f>if(count(Actuals!L$4:L$76) =0, 0,ROUND(IF(Actuals!L37="",K37,IF(Actuals!L37 &gt; K37,(0.2*(Actuals!L37-K37)+K37),(0.5*(K37+Actuals!L37)))),2))</f>
        <v>35.34</v>
      </c>
      <c r="M37" s="24">
        <f>if(count(Actuals!M$4:M$76) =0, 0,ROUND(IF(Actuals!M37="",L37,IF(Actuals!M37 &gt; L37,(0.2*(Actuals!M37-L37)+L37),(0.5*(L37+Actuals!M37)))),2))</f>
        <v>35.34</v>
      </c>
      <c r="N37" s="24">
        <f>if(count(Actuals!N$4:N$76) =0, 0,ROUND(IF(Actuals!N37="",M37,IF(Actuals!N37 &gt; M37,(0.2*(Actuals!N37-M37)+M37),(0.5*(M37+Actuals!N37)))),2))</f>
        <v>35.34</v>
      </c>
      <c r="O37" s="24">
        <f>if(count(Actuals!O$4:O$76) =0, 0,ROUND(IF(Actuals!O37="",N37,IF(Actuals!O37 &gt; N37,(0.2*(Actuals!O37-N37)+N37),(0.5*(N37+Actuals!O37)))),2))</f>
        <v>35.34</v>
      </c>
      <c r="P37" s="24">
        <f>if(count(Actuals!P$4:P$76) =0, 0,ROUND(IF(Actuals!P37="",O37,IF(Actuals!P37 &gt; O37,(0.2*(Actuals!P37-O37)+O37),(0.5*(O37+Actuals!P37)))),2))</f>
        <v>35.34</v>
      </c>
      <c r="Q37" s="24">
        <f>if(count(Actuals!Q$4:Q$76) =0, 0,ROUND(IF(Actuals!Q37="",P37,IF(Actuals!Q37 &gt; P37,(0.2*(Actuals!Q37-P37)+P37),(0.5*(P37+Actuals!Q37)))),2))</f>
        <v>35.34</v>
      </c>
      <c r="R37" s="24">
        <f>if(count(Actuals!R$4:R$65) =0, 0,ROUND(IF(Actuals!R37="",Q37,IF(Actuals!R37 &gt; Q37,(0.2*(Actuals!R37-Q37)+Q37),(0.5*(Q37+Actuals!R37)))),2))</f>
        <v>0</v>
      </c>
    </row>
    <row r="38">
      <c r="A38" s="13" t="s">
        <v>213</v>
      </c>
      <c r="B38" s="24">
        <v>44.2</v>
      </c>
      <c r="C38" s="24">
        <f>if(count(Actuals!C$4:C$76) =0, 0,ROUND(IF(Actuals!C38="",B38,IF(Actuals!C38 &gt; B38,(0.2*(Actuals!C38-B38)+B38),(0.5*(B38+Actuals!C38)))),2))</f>
        <v>44.2</v>
      </c>
      <c r="D38" s="24">
        <f>if(count(Actuals!D$4:D$76) =0, 0,ROUND(IF(Actuals!D38="",C38,IF(Actuals!D38 &gt; C38,(0.2*(Actuals!D38-C38)+C38),(0.5*(C38+Actuals!D38)))),2))</f>
        <v>44.2</v>
      </c>
      <c r="E38" s="24">
        <f>if(count(Actuals!E$4:E$76) =0, 0,ROUND(IF(Actuals!E38="",D38,IF(Actuals!E38 &gt; D38,(0.2*(Actuals!E38-D38)+D38),(0.5*(D38+Actuals!E38)))),2))</f>
        <v>44.2</v>
      </c>
      <c r="F38" s="24">
        <f>if(count(Actuals!F$4:F$76) =0, 0,ROUND(IF(Actuals!F38="",E38,IF(Actuals!F38 &gt; E38,(0.2*(Actuals!F38-E38)+E38),(0.5*(E38+Actuals!F38)))),2))</f>
        <v>44.2</v>
      </c>
      <c r="G38" s="24">
        <f>if(count(Actuals!G$4:G$76) =0, 0,ROUND(IF(Actuals!G38="",F38,IF(Actuals!G38 &gt; F38,(0.2*(Actuals!G38-F38)+F38),(0.5*(F38+Actuals!G38)))),2))</f>
        <v>44.2</v>
      </c>
      <c r="H38" s="24">
        <f>if(count(Actuals!H$4:H$76) =0, 0,ROUND(IF(Actuals!H38="",G38,IF(Actuals!H38 &gt; G38,(0.2*(Actuals!H38-G38)+G38),(0.5*(G38+Actuals!H38)))),2))</f>
        <v>44.2</v>
      </c>
      <c r="I38" s="24">
        <f>if(count(Actuals!I$4:I$76) =0, 0,ROUND(IF(Actuals!I38="",H38,IF(Actuals!I38 &gt; H38,(0.2*(Actuals!I38-H38)+H38),(0.5*(H38+Actuals!I38)))),2))</f>
        <v>44.2</v>
      </c>
      <c r="J38" s="24">
        <f>if(count(Actuals!J$4:J$76) =0, 0,ROUND(IF(Actuals!J38="",I38,IF(Actuals!J38 &gt; I38,(0.2*(Actuals!J38-I38)+I38),(0.5*(I38+Actuals!J38)))),2))</f>
        <v>44.2</v>
      </c>
      <c r="K38" s="24">
        <f>if(count(Actuals!K$4:K$76) =0, 0,ROUND(IF(Actuals!K38="",J38,IF(Actuals!K38 &gt; J38,(0.2*(Actuals!K38-J38)+J38),(0.5*(J38+Actuals!K38)))),2))</f>
        <v>44.2</v>
      </c>
      <c r="L38" s="24">
        <f>if(count(Actuals!L$4:L$76) =0, 0,ROUND(IF(Actuals!L38="",K38,IF(Actuals!L38 &gt; K38,(0.2*(Actuals!L38-K38)+K38),(0.5*(K38+Actuals!L38)))),2))</f>
        <v>44.2</v>
      </c>
      <c r="M38" s="24">
        <f>if(count(Actuals!M$4:M$76) =0, 0,ROUND(IF(Actuals!M38="",L38,IF(Actuals!M38 &gt; L38,(0.2*(Actuals!M38-L38)+L38),(0.5*(L38+Actuals!M38)))),2))</f>
        <v>44.2</v>
      </c>
      <c r="N38" s="24">
        <f>if(count(Actuals!N$4:N$76) =0, 0,ROUND(IF(Actuals!N38="",M38,IF(Actuals!N38 &gt; M38,(0.2*(Actuals!N38-M38)+M38),(0.5*(M38+Actuals!N38)))),2))</f>
        <v>44.2</v>
      </c>
      <c r="O38" s="24">
        <f>if(count(Actuals!O$4:O$76) =0, 0,ROUND(IF(Actuals!O38="",N38,IF(Actuals!O38 &gt; N38,(0.2*(Actuals!O38-N38)+N38),(0.5*(N38+Actuals!O38)))),2))</f>
        <v>44.2</v>
      </c>
      <c r="P38" s="24">
        <f>if(count(Actuals!P$4:P$76) =0, 0,ROUND(IF(Actuals!P38="",O38,IF(Actuals!P38 &gt; O38,(0.2*(Actuals!P38-O38)+O38),(0.5*(O38+Actuals!P38)))),2))</f>
        <v>44.2</v>
      </c>
      <c r="Q38" s="24">
        <f>if(count(Actuals!Q$4:Q$76) =0, 0,ROUND(IF(Actuals!Q38="",P38,IF(Actuals!Q38 &gt; P38,(0.2*(Actuals!Q38-P38)+P38),(0.5*(P38+Actuals!Q38)))),2))</f>
        <v>44.2</v>
      </c>
      <c r="R38" s="24">
        <f>if(count(Actuals!R$4:R$65) =0, 0,ROUND(IF(Actuals!R38="",Q38,IF(Actuals!R38 &gt; Q38,(0.2*(Actuals!R38-Q38)+Q38),(0.5*(Q38+Actuals!R38)))),2))</f>
        <v>0</v>
      </c>
    </row>
    <row r="39">
      <c r="A39" s="13" t="s">
        <v>214</v>
      </c>
      <c r="B39" s="24">
        <v>57.03</v>
      </c>
      <c r="C39" s="24">
        <f>if(count(Actuals!C$4:C$76) =0, 0,ROUND(IF(Actuals!C39="",B39,IF(Actuals!C39 &gt; B39,(0.2*(Actuals!C39-B39)+B39),(0.5*(B39+Actuals!C39)))),2))</f>
        <v>57.03</v>
      </c>
      <c r="D39" s="24">
        <f>if(count(Actuals!D$4:D$76) =0, 0,ROUND(IF(Actuals!D39="",C39,IF(Actuals!D39 &gt; C39,(0.2*(Actuals!D39-C39)+C39),(0.5*(C39+Actuals!D39)))),2))</f>
        <v>54.52</v>
      </c>
      <c r="E39" s="24">
        <f>if(count(Actuals!E$4:E$76) =0, 0,ROUND(IF(Actuals!E39="",D39,IF(Actuals!E39 &gt; D39,(0.2*(Actuals!E39-D39)+D39),(0.5*(D39+Actuals!E39)))),2))</f>
        <v>54.52</v>
      </c>
      <c r="F39" s="24">
        <f>if(count(Actuals!F$4:F$76) =0, 0,ROUND(IF(Actuals!F39="",E39,IF(Actuals!F39 &gt; E39,(0.2*(Actuals!F39-E39)+E39),(0.5*(E39+Actuals!F39)))),2))</f>
        <v>54.52</v>
      </c>
      <c r="G39" s="24">
        <f>if(count(Actuals!G$4:G$76) =0, 0,ROUND(IF(Actuals!G39="",F39,IF(Actuals!G39 &gt; F39,(0.2*(Actuals!G39-F39)+F39),(0.5*(F39+Actuals!G39)))),2))</f>
        <v>54.52</v>
      </c>
      <c r="H39" s="24">
        <f>if(count(Actuals!H$4:H$76) =0, 0,ROUND(IF(Actuals!H39="",G39,IF(Actuals!H39 &gt; G39,(0.2*(Actuals!H39-G39)+G39),(0.5*(G39+Actuals!H39)))),2))</f>
        <v>54.52</v>
      </c>
      <c r="I39" s="24">
        <f>if(count(Actuals!I$4:I$76) =0, 0,ROUND(IF(Actuals!I39="",H39,IF(Actuals!I39 &gt; H39,(0.2*(Actuals!I39-H39)+H39),(0.5*(H39+Actuals!I39)))),2))</f>
        <v>54.52</v>
      </c>
      <c r="J39" s="24">
        <f>if(count(Actuals!J$4:J$76) =0, 0,ROUND(IF(Actuals!J39="",I39,IF(Actuals!J39 &gt; I39,(0.2*(Actuals!J39-I39)+I39),(0.5*(I39+Actuals!J39)))),2))</f>
        <v>54.52</v>
      </c>
      <c r="K39" s="24">
        <f>if(count(Actuals!K$4:K$76) =0, 0,ROUND(IF(Actuals!K39="",J39,IF(Actuals!K39 &gt; J39,(0.2*(Actuals!K39-J39)+J39),(0.5*(J39+Actuals!K39)))),2))</f>
        <v>54.52</v>
      </c>
      <c r="L39" s="24">
        <f>if(count(Actuals!L$4:L$76) =0, 0,ROUND(IF(Actuals!L39="",K39,IF(Actuals!L39 &gt; K39,(0.2*(Actuals!L39-K39)+K39),(0.5*(K39+Actuals!L39)))),2))</f>
        <v>54.52</v>
      </c>
      <c r="M39" s="24">
        <f>if(count(Actuals!M$4:M$76) =0, 0,ROUND(IF(Actuals!M39="",L39,IF(Actuals!M39 &gt; L39,(0.2*(Actuals!M39-L39)+L39),(0.5*(L39+Actuals!M39)))),2))</f>
        <v>54.52</v>
      </c>
      <c r="N39" s="24">
        <f>if(count(Actuals!N$4:N$76) =0, 0,ROUND(IF(Actuals!N39="",M39,IF(Actuals!N39 &gt; M39,(0.2*(Actuals!N39-M39)+M39),(0.5*(M39+Actuals!N39)))),2))</f>
        <v>54.52</v>
      </c>
      <c r="O39" s="24">
        <f>if(count(Actuals!O$4:O$76) =0, 0,ROUND(IF(Actuals!O39="",N39,IF(Actuals!O39 &gt; N39,(0.2*(Actuals!O39-N39)+N39),(0.5*(N39+Actuals!O39)))),2))</f>
        <v>54.52</v>
      </c>
      <c r="P39" s="24">
        <f>if(count(Actuals!P$4:P$76) =0, 0,ROUND(IF(Actuals!P39="",O39,IF(Actuals!P39 &gt; O39,(0.2*(Actuals!P39-O39)+O39),(0.5*(O39+Actuals!P39)))),2))</f>
        <v>54.52</v>
      </c>
      <c r="Q39" s="24">
        <f>if(count(Actuals!Q$4:Q$76) =0, 0,ROUND(IF(Actuals!Q39="",P39,IF(Actuals!Q39 &gt; P39,(0.2*(Actuals!Q39-P39)+P39),(0.5*(P39+Actuals!Q39)))),2))</f>
        <v>54.52</v>
      </c>
      <c r="R39" s="24">
        <f>if(count(Actuals!R$4:R$65) =0, 0,ROUND(IF(Actuals!R39="",Q39,IF(Actuals!R39 &gt; Q39,(0.2*(Actuals!R39-Q39)+Q39),(0.5*(Q39+Actuals!R39)))),2))</f>
        <v>0</v>
      </c>
    </row>
    <row r="40">
      <c r="A40" s="13" t="s">
        <v>215</v>
      </c>
      <c r="B40" s="24">
        <v>43.2</v>
      </c>
      <c r="C40" s="24">
        <f>if(count(Actuals!C$4:C$76) =0, 0,ROUND(IF(Actuals!C40="",B40,IF(Actuals!C40 &gt; B40,(0.2*(Actuals!C40-B40)+B40),(0.5*(B40+Actuals!C40)))),2))</f>
        <v>43.2</v>
      </c>
      <c r="D40" s="24">
        <f>if(count(Actuals!D$4:D$76) =0, 0,ROUND(IF(Actuals!D40="",C40,IF(Actuals!D40 &gt; C40,(0.2*(Actuals!D40-C40)+C40),(0.5*(C40+Actuals!D40)))),2))</f>
        <v>43.2</v>
      </c>
      <c r="E40" s="24">
        <f>if(count(Actuals!E$4:E$76) =0, 0,ROUND(IF(Actuals!E40="",D40,IF(Actuals!E40 &gt; D40,(0.2*(Actuals!E40-D40)+D40),(0.5*(D40+Actuals!E40)))),2))</f>
        <v>43.2</v>
      </c>
      <c r="F40" s="24">
        <f>if(count(Actuals!F$4:F$76) =0, 0,ROUND(IF(Actuals!F40="",E40,IF(Actuals!F40 &gt; E40,(0.2*(Actuals!F40-E40)+E40),(0.5*(E40+Actuals!F40)))),2))</f>
        <v>43.2</v>
      </c>
      <c r="G40" s="24">
        <f>if(count(Actuals!G$4:G$76) =0, 0,ROUND(IF(Actuals!G40="",F40,IF(Actuals!G40 &gt; F40,(0.2*(Actuals!G40-F40)+F40),(0.5*(F40+Actuals!G40)))),2))</f>
        <v>43.2</v>
      </c>
      <c r="H40" s="24">
        <f>if(count(Actuals!H$4:H$76) =0, 0,ROUND(IF(Actuals!H40="",G40,IF(Actuals!H40 &gt; G40,(0.2*(Actuals!H40-G40)+G40),(0.5*(G40+Actuals!H40)))),2))</f>
        <v>43.2</v>
      </c>
      <c r="I40" s="24">
        <f>if(count(Actuals!I$4:I$76) =0, 0,ROUND(IF(Actuals!I40="",H40,IF(Actuals!I40 &gt; H40,(0.2*(Actuals!I40-H40)+H40),(0.5*(H40+Actuals!I40)))),2))</f>
        <v>43.2</v>
      </c>
      <c r="J40" s="24">
        <f>if(count(Actuals!J$4:J$76) =0, 0,ROUND(IF(Actuals!J40="",I40,IF(Actuals!J40 &gt; I40,(0.2*(Actuals!J40-I40)+I40),(0.5*(I40+Actuals!J40)))),2))</f>
        <v>43.2</v>
      </c>
      <c r="K40" s="24">
        <f>if(count(Actuals!K$4:K$76) =0, 0,ROUND(IF(Actuals!K40="",J40,IF(Actuals!K40 &gt; J40,(0.2*(Actuals!K40-J40)+J40),(0.5*(J40+Actuals!K40)))),2))</f>
        <v>43.2</v>
      </c>
      <c r="L40" s="24">
        <f>if(count(Actuals!L$4:L$76) =0, 0,ROUND(IF(Actuals!L40="",K40,IF(Actuals!L40 &gt; K40,(0.2*(Actuals!L40-K40)+K40),(0.5*(K40+Actuals!L40)))),2))</f>
        <v>43.2</v>
      </c>
      <c r="M40" s="24">
        <f>if(count(Actuals!M$4:M$76) =0, 0,ROUND(IF(Actuals!M40="",L40,IF(Actuals!M40 &gt; L40,(0.2*(Actuals!M40-L40)+L40),(0.5*(L40+Actuals!M40)))),2))</f>
        <v>43.2</v>
      </c>
      <c r="N40" s="24">
        <f>if(count(Actuals!N$4:N$76) =0, 0,ROUND(IF(Actuals!N40="",M40,IF(Actuals!N40 &gt; M40,(0.2*(Actuals!N40-M40)+M40),(0.5*(M40+Actuals!N40)))),2))</f>
        <v>43.2</v>
      </c>
      <c r="O40" s="24">
        <f>if(count(Actuals!O$4:O$76) =0, 0,ROUND(IF(Actuals!O40="",N40,IF(Actuals!O40 &gt; N40,(0.2*(Actuals!O40-N40)+N40),(0.5*(N40+Actuals!O40)))),2))</f>
        <v>43.2</v>
      </c>
      <c r="P40" s="24">
        <f>if(count(Actuals!P$4:P$76) =0, 0,ROUND(IF(Actuals!P40="",O40,IF(Actuals!P40 &gt; O40,(0.2*(Actuals!P40-O40)+O40),(0.5*(O40+Actuals!P40)))),2))</f>
        <v>43.2</v>
      </c>
      <c r="Q40" s="24">
        <f>if(count(Actuals!Q$4:Q$76) =0, 0,ROUND(IF(Actuals!Q40="",P40,IF(Actuals!Q40 &gt; P40,(0.2*(Actuals!Q40-P40)+P40),(0.5*(P40+Actuals!Q40)))),2))</f>
        <v>43.2</v>
      </c>
      <c r="R40" s="24">
        <f>if(count(Actuals!R$4:R$65) =0, 0,ROUND(IF(Actuals!R40="",Q40,IF(Actuals!R40 &gt; Q40,(0.2*(Actuals!R40-Q40)+Q40),(0.5*(Q40+Actuals!R40)))),2))</f>
        <v>0</v>
      </c>
    </row>
    <row r="41">
      <c r="A41" s="13" t="s">
        <v>216</v>
      </c>
      <c r="B41" s="24">
        <v>9.2</v>
      </c>
      <c r="C41" s="24">
        <f>if(count(Actuals!C$4:C$76) =0, 0,ROUND(IF(Actuals!C41="",B41,IF(Actuals!C41 &gt; B41,(0.2*(Actuals!C41-B41)+B41),(0.5*(B41+Actuals!C41)))),2))</f>
        <v>9.2</v>
      </c>
      <c r="D41" s="24">
        <f>if(count(Actuals!D$4:D$76) =0, 0,ROUND(IF(Actuals!D41="",C41,IF(Actuals!D41 &gt; C41,(0.2*(Actuals!D41-C41)+C41),(0.5*(C41+Actuals!D41)))),2))</f>
        <v>9.2</v>
      </c>
      <c r="E41" s="24">
        <f>if(count(Actuals!E$4:E$76) =0, 0,ROUND(IF(Actuals!E41="",D41,IF(Actuals!E41 &gt; D41,(0.2*(Actuals!E41-D41)+D41),(0.5*(D41+Actuals!E41)))),2))</f>
        <v>9.2</v>
      </c>
      <c r="F41" s="24">
        <f>if(count(Actuals!F$4:F$76) =0, 0,ROUND(IF(Actuals!F41="",E41,IF(Actuals!F41 &gt; E41,(0.2*(Actuals!F41-E41)+E41),(0.5*(E41+Actuals!F41)))),2))</f>
        <v>9.2</v>
      </c>
      <c r="G41" s="24">
        <f>if(count(Actuals!G$4:G$76) =0, 0,ROUND(IF(Actuals!G41="",F41,IF(Actuals!G41 &gt; F41,(0.2*(Actuals!G41-F41)+F41),(0.5*(F41+Actuals!G41)))),2))</f>
        <v>9.2</v>
      </c>
      <c r="H41" s="24">
        <f>if(count(Actuals!H$4:H$76) =0, 0,ROUND(IF(Actuals!H41="",G41,IF(Actuals!H41 &gt; G41,(0.2*(Actuals!H41-G41)+G41),(0.5*(G41+Actuals!H41)))),2))</f>
        <v>9.2</v>
      </c>
      <c r="I41" s="24">
        <f>if(count(Actuals!I$4:I$76) =0, 0,ROUND(IF(Actuals!I41="",H41,IF(Actuals!I41 &gt; H41,(0.2*(Actuals!I41-H41)+H41),(0.5*(H41+Actuals!I41)))),2))</f>
        <v>9.2</v>
      </c>
      <c r="J41" s="24">
        <f>if(count(Actuals!J$4:J$76) =0, 0,ROUND(IF(Actuals!J41="",I41,IF(Actuals!J41 &gt; I41,(0.2*(Actuals!J41-I41)+I41),(0.5*(I41+Actuals!J41)))),2))</f>
        <v>9.2</v>
      </c>
      <c r="K41" s="24">
        <f>if(count(Actuals!K$4:K$76) =0, 0,ROUND(IF(Actuals!K41="",J41,IF(Actuals!K41 &gt; J41,(0.2*(Actuals!K41-J41)+J41),(0.5*(J41+Actuals!K41)))),2))</f>
        <v>9.2</v>
      </c>
      <c r="L41" s="24">
        <f>if(count(Actuals!L$4:L$76) =0, 0,ROUND(IF(Actuals!L41="",K41,IF(Actuals!L41 &gt; K41,(0.2*(Actuals!L41-K41)+K41),(0.5*(K41+Actuals!L41)))),2))</f>
        <v>9.2</v>
      </c>
      <c r="M41" s="24">
        <f>if(count(Actuals!M$4:M$76) =0, 0,ROUND(IF(Actuals!M41="",L41,IF(Actuals!M41 &gt; L41,(0.2*(Actuals!M41-L41)+L41),(0.5*(L41+Actuals!M41)))),2))</f>
        <v>9.2</v>
      </c>
      <c r="N41" s="24">
        <f>if(count(Actuals!N$4:N$76) =0, 0,ROUND(IF(Actuals!N41="",M41,IF(Actuals!N41 &gt; M41,(0.2*(Actuals!N41-M41)+M41),(0.5*(M41+Actuals!N41)))),2))</f>
        <v>9.2</v>
      </c>
      <c r="O41" s="24">
        <f>if(count(Actuals!O$4:O$76) =0, 0,ROUND(IF(Actuals!O41="",N41,IF(Actuals!O41 &gt; N41,(0.2*(Actuals!O41-N41)+N41),(0.5*(N41+Actuals!O41)))),2))</f>
        <v>9.2</v>
      </c>
      <c r="P41" s="24">
        <f>if(count(Actuals!P$4:P$76) =0, 0,ROUND(IF(Actuals!P41="",O41,IF(Actuals!P41 &gt; O41,(0.2*(Actuals!P41-O41)+O41),(0.5*(O41+Actuals!P41)))),2))</f>
        <v>9.2</v>
      </c>
      <c r="Q41" s="24">
        <f>if(count(Actuals!Q$4:Q$76) =0, 0,ROUND(IF(Actuals!Q41="",P41,IF(Actuals!Q41 &gt; P41,(0.2*(Actuals!Q41-P41)+P41),(0.5*(P41+Actuals!Q41)))),2))</f>
        <v>9.2</v>
      </c>
      <c r="R41" s="24">
        <f>if(count(Actuals!R$4:R$65) =0, 0,ROUND(IF(Actuals!R41="",Q41,IF(Actuals!R41 &gt; Q41,(0.2*(Actuals!R41-Q41)+Q41),(0.5*(Q41+Actuals!R41)))),2))</f>
        <v>0</v>
      </c>
    </row>
    <row r="42">
      <c r="A42" s="13" t="s">
        <v>58</v>
      </c>
      <c r="B42" s="24">
        <v>40.49</v>
      </c>
      <c r="C42" s="24">
        <f>if(count(Actuals!C$4:C$76) =0, 0,ROUND(IF(Actuals!C42="",B42,IF(Actuals!C42 &gt; B42,(0.2*(Actuals!C42-B42)+B42),(0.5*(B42+Actuals!C42)))),2))</f>
        <v>40.49</v>
      </c>
      <c r="D42" s="24">
        <f>if(count(Actuals!D$4:D$76) =0, 0,ROUND(IF(Actuals!D42="",C42,IF(Actuals!D42 &gt; C42,(0.2*(Actuals!D42-C42)+C42),(0.5*(C42+Actuals!D42)))),2))</f>
        <v>40.49</v>
      </c>
      <c r="E42" s="24">
        <f>if(count(Actuals!E$4:E$76) =0, 0,ROUND(IF(Actuals!E42="",D42,IF(Actuals!E42 &gt; D42,(0.2*(Actuals!E42-D42)+D42),(0.5*(D42+Actuals!E42)))),2))</f>
        <v>40.49</v>
      </c>
      <c r="F42" s="24">
        <f>if(count(Actuals!F$4:F$76) =0, 0,ROUND(IF(Actuals!F42="",E42,IF(Actuals!F42 &gt; E42,(0.2*(Actuals!F42-E42)+E42),(0.5*(E42+Actuals!F42)))),2))</f>
        <v>40.49</v>
      </c>
      <c r="G42" s="24">
        <f>if(count(Actuals!G$4:G$76) =0, 0,ROUND(IF(Actuals!G42="",F42,IF(Actuals!G42 &gt; F42,(0.2*(Actuals!G42-F42)+F42),(0.5*(F42+Actuals!G42)))),2))</f>
        <v>40.49</v>
      </c>
      <c r="H42" s="24">
        <f>if(count(Actuals!H$4:H$76) =0, 0,ROUND(IF(Actuals!H42="",G42,IF(Actuals!H42 &gt; G42,(0.2*(Actuals!H42-G42)+G42),(0.5*(G42+Actuals!H42)))),2))</f>
        <v>40.49</v>
      </c>
      <c r="I42" s="24">
        <f>if(count(Actuals!I$4:I$76) =0, 0,ROUND(IF(Actuals!I42="",H42,IF(Actuals!I42 &gt; H42,(0.2*(Actuals!I42-H42)+H42),(0.5*(H42+Actuals!I42)))),2))</f>
        <v>40.49</v>
      </c>
      <c r="J42" s="24">
        <f>if(count(Actuals!J$4:J$76) =0, 0,ROUND(IF(Actuals!J42="",I42,IF(Actuals!J42 &gt; I42,(0.2*(Actuals!J42-I42)+I42),(0.5*(I42+Actuals!J42)))),2))</f>
        <v>40.49</v>
      </c>
      <c r="K42" s="24">
        <f>if(count(Actuals!K$4:K$76) =0, 0,ROUND(IF(Actuals!K42="",J42,IF(Actuals!K42 &gt; J42,(0.2*(Actuals!K42-J42)+J42),(0.5*(J42+Actuals!K42)))),2))</f>
        <v>40.49</v>
      </c>
      <c r="L42" s="24">
        <f>if(count(Actuals!L$4:L$76) =0, 0,ROUND(IF(Actuals!L42="",K42,IF(Actuals!L42 &gt; K42,(0.2*(Actuals!L42-K42)+K42),(0.5*(K42+Actuals!L42)))),2))</f>
        <v>40.49</v>
      </c>
      <c r="M42" s="24">
        <f>if(count(Actuals!M$4:M$76) =0, 0,ROUND(IF(Actuals!M42="",L42,IF(Actuals!M42 &gt; L42,(0.2*(Actuals!M42-L42)+L42),(0.5*(L42+Actuals!M42)))),2))</f>
        <v>40.49</v>
      </c>
      <c r="N42" s="24">
        <f>if(count(Actuals!N$4:N$76) =0, 0,ROUND(IF(Actuals!N42="",M42,IF(Actuals!N42 &gt; M42,(0.2*(Actuals!N42-M42)+M42),(0.5*(M42+Actuals!N42)))),2))</f>
        <v>40.49</v>
      </c>
      <c r="O42" s="24">
        <f>if(count(Actuals!O$4:O$76) =0, 0,ROUND(IF(Actuals!O42="",N42,IF(Actuals!O42 &gt; N42,(0.2*(Actuals!O42-N42)+N42),(0.5*(N42+Actuals!O42)))),2))</f>
        <v>40.49</v>
      </c>
      <c r="P42" s="24">
        <f>if(count(Actuals!P$4:P$76) =0, 0,ROUND(IF(Actuals!P42="",O42,IF(Actuals!P42 &gt; O42,(0.2*(Actuals!P42-O42)+O42),(0.5*(O42+Actuals!P42)))),2))</f>
        <v>40.49</v>
      </c>
      <c r="Q42" s="24">
        <f>if(count(Actuals!Q$4:Q$76) =0, 0,ROUND(IF(Actuals!Q42="",P42,IF(Actuals!Q42 &gt; P42,(0.2*(Actuals!Q42-P42)+P42),(0.5*(P42+Actuals!Q42)))),2))</f>
        <v>40.49</v>
      </c>
      <c r="R42" s="24">
        <f>if(count(Actuals!R$4:R$65) =0, 0,ROUND(IF(Actuals!R42="",Q42,IF(Actuals!R42 &gt; Q42,(0.2*(Actuals!R42-Q42)+Q42),(0.5*(Q42+Actuals!R42)))),2))</f>
        <v>0</v>
      </c>
    </row>
    <row r="43">
      <c r="A43" s="13" t="s">
        <v>217</v>
      </c>
      <c r="B43" s="24">
        <v>43.9</v>
      </c>
      <c r="C43" s="24">
        <f>if(count(Actuals!C$4:C$76) =0, 0,ROUND(IF(Actuals!C43="",B43,IF(Actuals!C43 &gt; B43,(0.2*(Actuals!C43-B43)+B43),(0.5*(B43+Actuals!C43)))),2))</f>
        <v>43.9</v>
      </c>
      <c r="D43" s="24">
        <f>if(count(Actuals!D$4:D$76) =0, 0,ROUND(IF(Actuals!D43="",C43,IF(Actuals!D43 &gt; C43,(0.2*(Actuals!D43-C43)+C43),(0.5*(C43+Actuals!D43)))),2))</f>
        <v>43.9</v>
      </c>
      <c r="E43" s="24">
        <f>if(count(Actuals!E$4:E$76) =0, 0,ROUND(IF(Actuals!E43="",D43,IF(Actuals!E43 &gt; D43,(0.2*(Actuals!E43-D43)+D43),(0.5*(D43+Actuals!E43)))),2))</f>
        <v>43.9</v>
      </c>
      <c r="F43" s="24">
        <f>if(count(Actuals!F$4:F$76) =0, 0,ROUND(IF(Actuals!F43="",E43,IF(Actuals!F43 &gt; E43,(0.2*(Actuals!F43-E43)+E43),(0.5*(E43+Actuals!F43)))),2))</f>
        <v>43.9</v>
      </c>
      <c r="G43" s="24">
        <f>if(count(Actuals!G$4:G$76) =0, 0,ROUND(IF(Actuals!G43="",F43,IF(Actuals!G43 &gt; F43,(0.2*(Actuals!G43-F43)+F43),(0.5*(F43+Actuals!G43)))),2))</f>
        <v>43.9</v>
      </c>
      <c r="H43" s="24">
        <f>if(count(Actuals!H$4:H$76) =0, 0,ROUND(IF(Actuals!H43="",G43,IF(Actuals!H43 &gt; G43,(0.2*(Actuals!H43-G43)+G43),(0.5*(G43+Actuals!H43)))),2))</f>
        <v>43.9</v>
      </c>
      <c r="I43" s="24">
        <f>if(count(Actuals!I$4:I$76) =0, 0,ROUND(IF(Actuals!I43="",H43,IF(Actuals!I43 &gt; H43,(0.2*(Actuals!I43-H43)+H43),(0.5*(H43+Actuals!I43)))),2))</f>
        <v>43.9</v>
      </c>
      <c r="J43" s="24">
        <f>if(count(Actuals!J$4:J$76) =0, 0,ROUND(IF(Actuals!J43="",I43,IF(Actuals!J43 &gt; I43,(0.2*(Actuals!J43-I43)+I43),(0.5*(I43+Actuals!J43)))),2))</f>
        <v>43.9</v>
      </c>
      <c r="K43" s="24">
        <f>if(count(Actuals!K$4:K$76) =0, 0,ROUND(IF(Actuals!K43="",J43,IF(Actuals!K43 &gt; J43,(0.2*(Actuals!K43-J43)+J43),(0.5*(J43+Actuals!K43)))),2))</f>
        <v>43.9</v>
      </c>
      <c r="L43" s="24">
        <f>if(count(Actuals!L$4:L$76) =0, 0,ROUND(IF(Actuals!L43="",K43,IF(Actuals!L43 &gt; K43,(0.2*(Actuals!L43-K43)+K43),(0.5*(K43+Actuals!L43)))),2))</f>
        <v>43.9</v>
      </c>
      <c r="M43" s="24">
        <f>if(count(Actuals!M$4:M$76) =0, 0,ROUND(IF(Actuals!M43="",L43,IF(Actuals!M43 &gt; L43,(0.2*(Actuals!M43-L43)+L43),(0.5*(L43+Actuals!M43)))),2))</f>
        <v>43.9</v>
      </c>
      <c r="N43" s="24">
        <f>if(count(Actuals!N$4:N$76) =0, 0,ROUND(IF(Actuals!N43="",M43,IF(Actuals!N43 &gt; M43,(0.2*(Actuals!N43-M43)+M43),(0.5*(M43+Actuals!N43)))),2))</f>
        <v>43.9</v>
      </c>
      <c r="O43" s="24">
        <f>if(count(Actuals!O$4:O$76) =0, 0,ROUND(IF(Actuals!O43="",N43,IF(Actuals!O43 &gt; N43,(0.2*(Actuals!O43-N43)+N43),(0.5*(N43+Actuals!O43)))),2))</f>
        <v>43.9</v>
      </c>
      <c r="P43" s="24">
        <f>if(count(Actuals!P$4:P$76) =0, 0,ROUND(IF(Actuals!P43="",O43,IF(Actuals!P43 &gt; O43,(0.2*(Actuals!P43-O43)+O43),(0.5*(O43+Actuals!P43)))),2))</f>
        <v>43.9</v>
      </c>
      <c r="Q43" s="24">
        <f>if(count(Actuals!Q$4:Q$76) =0, 0,ROUND(IF(Actuals!Q43="",P43,IF(Actuals!Q43 &gt; P43,(0.2*(Actuals!Q43-P43)+P43),(0.5*(P43+Actuals!Q43)))),2))</f>
        <v>43.9</v>
      </c>
      <c r="R43" s="24">
        <f>if(count(Actuals!R$4:R$65) =0, 0,ROUND(IF(Actuals!R43="",Q43,IF(Actuals!R43 &gt; Q43,(0.2*(Actuals!R43-Q43)+Q43),(0.5*(Q43+Actuals!R43)))),2))</f>
        <v>0</v>
      </c>
    </row>
    <row r="44">
      <c r="A44" s="13" t="s">
        <v>57</v>
      </c>
      <c r="B44" s="24">
        <v>37.0</v>
      </c>
      <c r="C44" s="24">
        <f>if(count(Actuals!C$4:C$76) =0, 0,ROUND(IF(Actuals!C44="",B44,IF(Actuals!C44 &gt; B44,(0.2*(Actuals!C44-B44)+B44),(0.5*(B44+Actuals!C44)))),2))</f>
        <v>37</v>
      </c>
      <c r="D44" s="24">
        <f>if(count(Actuals!D$4:D$76) =0, 0,ROUND(IF(Actuals!D44="",C44,IF(Actuals!D44 &gt; C44,(0.2*(Actuals!D44-C44)+C44),(0.5*(C44+Actuals!D44)))),2))</f>
        <v>37</v>
      </c>
      <c r="E44" s="24">
        <f>if(count(Actuals!E$4:E$76) =0, 0,ROUND(IF(Actuals!E44="",D44,IF(Actuals!E44 &gt; D44,(0.2*(Actuals!E44-D44)+D44),(0.5*(D44+Actuals!E44)))),2))</f>
        <v>36</v>
      </c>
      <c r="F44" s="24">
        <f>if(count(Actuals!F$4:F$76) =0, 0,ROUND(IF(Actuals!F44="",E44,IF(Actuals!F44 &gt; E44,(0.2*(Actuals!F44-E44)+E44),(0.5*(E44+Actuals!F44)))),2))</f>
        <v>36</v>
      </c>
      <c r="G44" s="24">
        <f>if(count(Actuals!G$4:G$76) =0, 0,ROUND(IF(Actuals!G44="",F44,IF(Actuals!G44 &gt; F44,(0.2*(Actuals!G44-F44)+F44),(0.5*(F44+Actuals!G44)))),2))</f>
        <v>36</v>
      </c>
      <c r="H44" s="24">
        <f>if(count(Actuals!H$4:H$76) =0, 0,ROUND(IF(Actuals!H44="",G44,IF(Actuals!H44 &gt; G44,(0.2*(Actuals!H44-G44)+G44),(0.5*(G44+Actuals!H44)))),2))</f>
        <v>36</v>
      </c>
      <c r="I44" s="24">
        <f>if(count(Actuals!I$4:I$76) =0, 0,ROUND(IF(Actuals!I44="",H44,IF(Actuals!I44 &gt; H44,(0.2*(Actuals!I44-H44)+H44),(0.5*(H44+Actuals!I44)))),2))</f>
        <v>36</v>
      </c>
      <c r="J44" s="24">
        <f>if(count(Actuals!J$4:J$76) =0, 0,ROUND(IF(Actuals!J44="",I44,IF(Actuals!J44 &gt; I44,(0.2*(Actuals!J44-I44)+I44),(0.5*(I44+Actuals!J44)))),2))</f>
        <v>36</v>
      </c>
      <c r="K44" s="24">
        <f>if(count(Actuals!K$4:K$76) =0, 0,ROUND(IF(Actuals!K44="",J44,IF(Actuals!K44 &gt; J44,(0.2*(Actuals!K44-J44)+J44),(0.5*(J44+Actuals!K44)))),2))</f>
        <v>36</v>
      </c>
      <c r="L44" s="24">
        <f>if(count(Actuals!L$4:L$76) =0, 0,ROUND(IF(Actuals!L44="",K44,IF(Actuals!L44 &gt; K44,(0.2*(Actuals!L44-K44)+K44),(0.5*(K44+Actuals!L44)))),2))</f>
        <v>36</v>
      </c>
      <c r="M44" s="24">
        <f>if(count(Actuals!M$4:M$76) =0, 0,ROUND(IF(Actuals!M44="",L44,IF(Actuals!M44 &gt; L44,(0.2*(Actuals!M44-L44)+L44),(0.5*(L44+Actuals!M44)))),2))</f>
        <v>36</v>
      </c>
      <c r="N44" s="24">
        <f>if(count(Actuals!N$4:N$76) =0, 0,ROUND(IF(Actuals!N44="",M44,IF(Actuals!N44 &gt; M44,(0.2*(Actuals!N44-M44)+M44),(0.5*(M44+Actuals!N44)))),2))</f>
        <v>36</v>
      </c>
      <c r="O44" s="24">
        <f>if(count(Actuals!O$4:O$76) =0, 0,ROUND(IF(Actuals!O44="",N44,IF(Actuals!O44 &gt; N44,(0.2*(Actuals!O44-N44)+N44),(0.5*(N44+Actuals!O44)))),2))</f>
        <v>36</v>
      </c>
      <c r="P44" s="24">
        <f>if(count(Actuals!P$4:P$76) =0, 0,ROUND(IF(Actuals!P44="",O44,IF(Actuals!P44 &gt; O44,(0.2*(Actuals!P44-O44)+O44),(0.5*(O44+Actuals!P44)))),2))</f>
        <v>36</v>
      </c>
      <c r="Q44" s="24">
        <f>if(count(Actuals!Q$4:Q$76) =0, 0,ROUND(IF(Actuals!Q44="",P44,IF(Actuals!Q44 &gt; P44,(0.2*(Actuals!Q44-P44)+P44),(0.5*(P44+Actuals!Q44)))),2))</f>
        <v>36</v>
      </c>
      <c r="R44" s="24">
        <f>if(count(Actuals!R$4:R$65) =0, 0,ROUND(IF(Actuals!R44="",Q44,IF(Actuals!R44 &gt; Q44,(0.2*(Actuals!R44-Q44)+Q44),(0.5*(Q44+Actuals!R44)))),2))</f>
        <v>0</v>
      </c>
    </row>
    <row r="45">
      <c r="A45" s="13" t="s">
        <v>22</v>
      </c>
      <c r="B45" s="24">
        <v>46.97</v>
      </c>
      <c r="C45" s="24">
        <f>if(count(Actuals!C$4:C$76) =0, 0,ROUND(IF(Actuals!C45="",B45,IF(Actuals!C45 &gt; B45,(0.2*(Actuals!C45-B45)+B45),(0.5*(B45+Actuals!C45)))),2))</f>
        <v>46.97</v>
      </c>
      <c r="D45" s="24">
        <f>if(count(Actuals!D$4:D$76) =0, 0,ROUND(IF(Actuals!D45="",C45,IF(Actuals!D45 &gt; C45,(0.2*(Actuals!D45-C45)+C45),(0.5*(C45+Actuals!D45)))),2))</f>
        <v>46.97</v>
      </c>
      <c r="E45" s="24">
        <f>if(count(Actuals!E$4:E$76) =0, 0,ROUND(IF(Actuals!E45="",D45,IF(Actuals!E45 &gt; D45,(0.2*(Actuals!E45-D45)+D45),(0.5*(D45+Actuals!E45)))),2))</f>
        <v>46.97</v>
      </c>
      <c r="F45" s="24">
        <f>if(count(Actuals!F$4:F$76) =0, 0,ROUND(IF(Actuals!F45="",E45,IF(Actuals!F45 &gt; E45,(0.2*(Actuals!F45-E45)+E45),(0.5*(E45+Actuals!F45)))),2))</f>
        <v>46.97</v>
      </c>
      <c r="G45" s="24">
        <f>if(count(Actuals!G$4:G$76) =0, 0,ROUND(IF(Actuals!G45="",F45,IF(Actuals!G45 &gt; F45,(0.2*(Actuals!G45-F45)+F45),(0.5*(F45+Actuals!G45)))),2))</f>
        <v>46.97</v>
      </c>
      <c r="H45" s="24">
        <f>if(count(Actuals!H$4:H$76) =0, 0,ROUND(IF(Actuals!H45="",G45,IF(Actuals!H45 &gt; G45,(0.2*(Actuals!H45-G45)+G45),(0.5*(G45+Actuals!H45)))),2))</f>
        <v>46.97</v>
      </c>
      <c r="I45" s="24">
        <f>if(count(Actuals!I$4:I$76) =0, 0,ROUND(IF(Actuals!I45="",H45,IF(Actuals!I45 &gt; H45,(0.2*(Actuals!I45-H45)+H45),(0.5*(H45+Actuals!I45)))),2))</f>
        <v>46.97</v>
      </c>
      <c r="J45" s="24">
        <f>if(count(Actuals!J$4:J$76) =0, 0,ROUND(IF(Actuals!J45="",I45,IF(Actuals!J45 &gt; I45,(0.2*(Actuals!J45-I45)+I45),(0.5*(I45+Actuals!J45)))),2))</f>
        <v>46.97</v>
      </c>
      <c r="K45" s="24">
        <f>if(count(Actuals!K$4:K$76) =0, 0,ROUND(IF(Actuals!K45="",J45,IF(Actuals!K45 &gt; J45,(0.2*(Actuals!K45-J45)+J45),(0.5*(J45+Actuals!K45)))),2))</f>
        <v>46.97</v>
      </c>
      <c r="L45" s="24">
        <f>if(count(Actuals!L$4:L$76) =0, 0,ROUND(IF(Actuals!L45="",K45,IF(Actuals!L45 &gt; K45,(0.2*(Actuals!L45-K45)+K45),(0.5*(K45+Actuals!L45)))),2))</f>
        <v>46.97</v>
      </c>
      <c r="M45" s="24">
        <f>if(count(Actuals!M$4:M$76) =0, 0,ROUND(IF(Actuals!M45="",L45,IF(Actuals!M45 &gt; L45,(0.2*(Actuals!M45-L45)+L45),(0.5*(L45+Actuals!M45)))),2))</f>
        <v>46.97</v>
      </c>
      <c r="N45" s="24">
        <f>if(count(Actuals!N$4:N$76) =0, 0,ROUND(IF(Actuals!N45="",M45,IF(Actuals!N45 &gt; M45,(0.2*(Actuals!N45-M45)+M45),(0.5*(M45+Actuals!N45)))),2))</f>
        <v>46.97</v>
      </c>
      <c r="O45" s="24">
        <f>if(count(Actuals!O$4:O$76) =0, 0,ROUND(IF(Actuals!O45="",N45,IF(Actuals!O45 &gt; N45,(0.2*(Actuals!O45-N45)+N45),(0.5*(N45+Actuals!O45)))),2))</f>
        <v>46.97</v>
      </c>
      <c r="P45" s="24">
        <f>if(count(Actuals!P$4:P$76) =0, 0,ROUND(IF(Actuals!P45="",O45,IF(Actuals!P45 &gt; O45,(0.2*(Actuals!P45-O45)+O45),(0.5*(O45+Actuals!P45)))),2))</f>
        <v>46.97</v>
      </c>
      <c r="Q45" s="24">
        <f>if(count(Actuals!Q$4:Q$76) =0, 0,ROUND(IF(Actuals!Q45="",P45,IF(Actuals!Q45 &gt; P45,(0.2*(Actuals!Q45-P45)+P45),(0.5*(P45+Actuals!Q45)))),2))</f>
        <v>46.97</v>
      </c>
      <c r="R45" s="24">
        <f>if(count(Actuals!R$4:R$65) =0, 0,ROUND(IF(Actuals!R45="",Q45,IF(Actuals!R45 &gt; Q45,(0.2*(Actuals!R45-Q45)+Q45),(0.5*(Q45+Actuals!R45)))),2))</f>
        <v>0</v>
      </c>
    </row>
    <row r="46">
      <c r="A46" s="13" t="s">
        <v>63</v>
      </c>
      <c r="B46" s="24">
        <v>57.0</v>
      </c>
      <c r="C46" s="24">
        <f>if(count(Actuals!C$4:C$76) =0, 0,ROUND(IF(Actuals!C46="",B46,IF(Actuals!C46 &gt; B46,(0.2*(Actuals!C46-B46)+B46),(0.5*(B46+Actuals!C46)))),2))</f>
        <v>57</v>
      </c>
      <c r="D46" s="24">
        <f>if(count(Actuals!D$4:D$76) =0, 0,ROUND(IF(Actuals!D46="",C46,IF(Actuals!D46 &gt; C46,(0.2*(Actuals!D46-C46)+C46),(0.5*(C46+Actuals!D46)))),2))</f>
        <v>57</v>
      </c>
      <c r="E46" s="24">
        <f>if(count(Actuals!E$4:E$76) =0, 0,ROUND(IF(Actuals!E46="",D46,IF(Actuals!E46 &gt; D46,(0.2*(Actuals!E46-D46)+D46),(0.5*(D46+Actuals!E46)))),2))</f>
        <v>57</v>
      </c>
      <c r="F46" s="24">
        <f>if(count(Actuals!F$4:F$76) =0, 0,ROUND(IF(Actuals!F46="",E46,IF(Actuals!F46 &gt; E46,(0.2*(Actuals!F46-E46)+E46),(0.5*(E46+Actuals!F46)))),2))</f>
        <v>57</v>
      </c>
      <c r="G46" s="24">
        <f>if(count(Actuals!G$4:G$76) =0, 0,ROUND(IF(Actuals!G46="",F46,IF(Actuals!G46 &gt; F46,(0.2*(Actuals!G46-F46)+F46),(0.5*(F46+Actuals!G46)))),2))</f>
        <v>57</v>
      </c>
      <c r="H46" s="24">
        <f>if(count(Actuals!H$4:H$76) =0, 0,ROUND(IF(Actuals!H46="",G46,IF(Actuals!H46 &gt; G46,(0.2*(Actuals!H46-G46)+G46),(0.5*(G46+Actuals!H46)))),2))</f>
        <v>57</v>
      </c>
      <c r="I46" s="24">
        <f>if(count(Actuals!I$4:I$76) =0, 0,ROUND(IF(Actuals!I46="",H46,IF(Actuals!I46 &gt; H46,(0.2*(Actuals!I46-H46)+H46),(0.5*(H46+Actuals!I46)))),2))</f>
        <v>57</v>
      </c>
      <c r="J46" s="24">
        <f>if(count(Actuals!J$4:J$76) =0, 0,ROUND(IF(Actuals!J46="",I46,IF(Actuals!J46 &gt; I46,(0.2*(Actuals!J46-I46)+I46),(0.5*(I46+Actuals!J46)))),2))</f>
        <v>57</v>
      </c>
      <c r="K46" s="24">
        <f>if(count(Actuals!K$4:K$76) =0, 0,ROUND(IF(Actuals!K46="",J46,IF(Actuals!K46 &gt; J46,(0.2*(Actuals!K46-J46)+J46),(0.5*(J46+Actuals!K46)))),2))</f>
        <v>57</v>
      </c>
      <c r="L46" s="24">
        <f>if(count(Actuals!L$4:L$76) =0, 0,ROUND(IF(Actuals!L46="",K46,IF(Actuals!L46 &gt; K46,(0.2*(Actuals!L46-K46)+K46),(0.5*(K46+Actuals!L46)))),2))</f>
        <v>57</v>
      </c>
      <c r="M46" s="24">
        <f>if(count(Actuals!M$4:M$76) =0, 0,ROUND(IF(Actuals!M46="",L46,IF(Actuals!M46 &gt; L46,(0.2*(Actuals!M46-L46)+L46),(0.5*(L46+Actuals!M46)))),2))</f>
        <v>57</v>
      </c>
      <c r="N46" s="24">
        <f>if(count(Actuals!N$4:N$76) =0, 0,ROUND(IF(Actuals!N46="",M46,IF(Actuals!N46 &gt; M46,(0.2*(Actuals!N46-M46)+M46),(0.5*(M46+Actuals!N46)))),2))</f>
        <v>57</v>
      </c>
      <c r="O46" s="24">
        <f>if(count(Actuals!O$4:O$76) =0, 0,ROUND(IF(Actuals!O46="",N46,IF(Actuals!O46 &gt; N46,(0.2*(Actuals!O46-N46)+N46),(0.5*(N46+Actuals!O46)))),2))</f>
        <v>57</v>
      </c>
      <c r="P46" s="24">
        <f>if(count(Actuals!P$4:P$76) =0, 0,ROUND(IF(Actuals!P46="",O46,IF(Actuals!P46 &gt; O46,(0.2*(Actuals!P46-O46)+O46),(0.5*(O46+Actuals!P46)))),2))</f>
        <v>57</v>
      </c>
      <c r="Q46" s="24">
        <f>if(count(Actuals!Q$4:Q$76) =0, 0,ROUND(IF(Actuals!Q46="",P46,IF(Actuals!Q46 &gt; P46,(0.2*(Actuals!Q46-P46)+P46),(0.5*(P46+Actuals!Q46)))),2))</f>
        <v>57</v>
      </c>
      <c r="R46" s="24">
        <f>if(count(Actuals!R$4:R$65) =0, 0,ROUND(IF(Actuals!R46="",Q46,IF(Actuals!R46 &gt; Q46,(0.2*(Actuals!R46-Q46)+Q46),(0.5*(Q46+Actuals!R46)))),2))</f>
        <v>0</v>
      </c>
    </row>
    <row r="47">
      <c r="A47" s="13" t="s">
        <v>23</v>
      </c>
      <c r="B47" s="24">
        <v>41.6</v>
      </c>
      <c r="C47" s="24">
        <f>if(count(Actuals!C$4:C$76) =0, 0,ROUND(IF(Actuals!C47="",B47,IF(Actuals!C47 &gt; B47,(0.2*(Actuals!C47-B47)+B47),(0.5*(B47+Actuals!C47)))),2))</f>
        <v>41.6</v>
      </c>
      <c r="D47" s="24">
        <f>if(count(Actuals!D$4:D$76) =0, 0,ROUND(IF(Actuals!D47="",C47,IF(Actuals!D47 &gt; C47,(0.2*(Actuals!D47-C47)+C47),(0.5*(C47+Actuals!D47)))),2))</f>
        <v>41.6</v>
      </c>
      <c r="E47" s="24">
        <f>if(count(Actuals!E$4:E$76) =0, 0,ROUND(IF(Actuals!E47="",D47,IF(Actuals!E47 &gt; D47,(0.2*(Actuals!E47-D47)+D47),(0.5*(D47+Actuals!E47)))),2))</f>
        <v>41.6</v>
      </c>
      <c r="F47" s="24">
        <f>if(count(Actuals!F$4:F$76) =0, 0,ROUND(IF(Actuals!F47="",E47,IF(Actuals!F47 &gt; E47,(0.2*(Actuals!F47-E47)+E47),(0.5*(E47+Actuals!F47)))),2))</f>
        <v>41.6</v>
      </c>
      <c r="G47" s="24">
        <f>if(count(Actuals!G$4:G$76) =0, 0,ROUND(IF(Actuals!G47="",F47,IF(Actuals!G47 &gt; F47,(0.2*(Actuals!G47-F47)+F47),(0.5*(F47+Actuals!G47)))),2))</f>
        <v>41.6</v>
      </c>
      <c r="H47" s="24">
        <f>if(count(Actuals!H$4:H$76) =0, 0,ROUND(IF(Actuals!H47="",G47,IF(Actuals!H47 &gt; G47,(0.2*(Actuals!H47-G47)+G47),(0.5*(G47+Actuals!H47)))),2))</f>
        <v>41.6</v>
      </c>
      <c r="I47" s="24">
        <f>if(count(Actuals!I$4:I$76) =0, 0,ROUND(IF(Actuals!I47="",H47,IF(Actuals!I47 &gt; H47,(0.2*(Actuals!I47-H47)+H47),(0.5*(H47+Actuals!I47)))),2))</f>
        <v>41.6</v>
      </c>
      <c r="J47" s="24">
        <f>if(count(Actuals!J$4:J$76) =0, 0,ROUND(IF(Actuals!J47="",I47,IF(Actuals!J47 &gt; I47,(0.2*(Actuals!J47-I47)+I47),(0.5*(I47+Actuals!J47)))),2))</f>
        <v>41.6</v>
      </c>
      <c r="K47" s="24">
        <f>if(count(Actuals!K$4:K$76) =0, 0,ROUND(IF(Actuals!K47="",J47,IF(Actuals!K47 &gt; J47,(0.2*(Actuals!K47-J47)+J47),(0.5*(J47+Actuals!K47)))),2))</f>
        <v>41.6</v>
      </c>
      <c r="L47" s="24">
        <f>if(count(Actuals!L$4:L$76) =0, 0,ROUND(IF(Actuals!L47="",K47,IF(Actuals!L47 &gt; K47,(0.2*(Actuals!L47-K47)+K47),(0.5*(K47+Actuals!L47)))),2))</f>
        <v>41.6</v>
      </c>
      <c r="M47" s="24">
        <f>if(count(Actuals!M$4:M$76) =0, 0,ROUND(IF(Actuals!M47="",L47,IF(Actuals!M47 &gt; L47,(0.2*(Actuals!M47-L47)+L47),(0.5*(L47+Actuals!M47)))),2))</f>
        <v>41.6</v>
      </c>
      <c r="N47" s="24">
        <f>if(count(Actuals!N$4:N$76) =0, 0,ROUND(IF(Actuals!N47="",M47,IF(Actuals!N47 &gt; M47,(0.2*(Actuals!N47-M47)+M47),(0.5*(M47+Actuals!N47)))),2))</f>
        <v>41.6</v>
      </c>
      <c r="O47" s="24">
        <f>if(count(Actuals!O$4:O$76) =0, 0,ROUND(IF(Actuals!O47="",N47,IF(Actuals!O47 &gt; N47,(0.2*(Actuals!O47-N47)+N47),(0.5*(N47+Actuals!O47)))),2))</f>
        <v>41.6</v>
      </c>
      <c r="P47" s="24">
        <f>if(count(Actuals!P$4:P$76) =0, 0,ROUND(IF(Actuals!P47="",O47,IF(Actuals!P47 &gt; O47,(0.2*(Actuals!P47-O47)+O47),(0.5*(O47+Actuals!P47)))),2))</f>
        <v>41.6</v>
      </c>
      <c r="Q47" s="24">
        <f>if(count(Actuals!Q$4:Q$76) =0, 0,ROUND(IF(Actuals!Q47="",P47,IF(Actuals!Q47 &gt; P47,(0.2*(Actuals!Q47-P47)+P47),(0.5*(P47+Actuals!Q47)))),2))</f>
        <v>41.6</v>
      </c>
      <c r="R47" s="24">
        <f>if(count(Actuals!R$4:R$65) =0, 0,ROUND(IF(Actuals!R47="",Q47,IF(Actuals!R47 &gt; Q47,(0.2*(Actuals!R47-Q47)+Q47),(0.5*(Q47+Actuals!R47)))),2))</f>
        <v>0</v>
      </c>
    </row>
    <row r="48">
      <c r="A48" s="13" t="s">
        <v>24</v>
      </c>
      <c r="B48" s="24">
        <v>45.28</v>
      </c>
      <c r="C48" s="24">
        <f>if(count(Actuals!C$4:C$76) =0, 0,ROUND(IF(Actuals!C48="",B48,IF(Actuals!C48 &gt; B48,(0.2*(Actuals!C48-B48)+B48),(0.5*(B48+Actuals!C48)))),2))</f>
        <v>45.42</v>
      </c>
      <c r="D48" s="24">
        <f>if(count(Actuals!D$4:D$76) =0, 0,ROUND(IF(Actuals!D48="",C48,IF(Actuals!D48 &gt; C48,(0.2*(Actuals!D48-C48)+C48),(0.5*(C48+Actuals!D48)))),2))</f>
        <v>44.71</v>
      </c>
      <c r="E48" s="24">
        <f>if(count(Actuals!E$4:E$76) =0, 0,ROUND(IF(Actuals!E48="",D48,IF(Actuals!E48 &gt; D48,(0.2*(Actuals!E48-D48)+D48),(0.5*(D48+Actuals!E48)))),2))</f>
        <v>44.71</v>
      </c>
      <c r="F48" s="24">
        <f>if(count(Actuals!F$4:F$76) =0, 0,ROUND(IF(Actuals!F48="",E48,IF(Actuals!F48 &gt; E48,(0.2*(Actuals!F48-E48)+E48),(0.5*(E48+Actuals!F48)))),2))</f>
        <v>44.71</v>
      </c>
      <c r="G48" s="24">
        <f>if(count(Actuals!G$4:G$76) =0, 0,ROUND(IF(Actuals!G48="",F48,IF(Actuals!G48 &gt; F48,(0.2*(Actuals!G48-F48)+F48),(0.5*(F48+Actuals!G48)))),2))</f>
        <v>44.71</v>
      </c>
      <c r="H48" s="24">
        <f>if(count(Actuals!H$4:H$76) =0, 0,ROUND(IF(Actuals!H48="",G48,IF(Actuals!H48 &gt; G48,(0.2*(Actuals!H48-G48)+G48),(0.5*(G48+Actuals!H48)))),2))</f>
        <v>44.71</v>
      </c>
      <c r="I48" s="24">
        <f>if(count(Actuals!I$4:I$76) =0, 0,ROUND(IF(Actuals!I48="",H48,IF(Actuals!I48 &gt; H48,(0.2*(Actuals!I48-H48)+H48),(0.5*(H48+Actuals!I48)))),2))</f>
        <v>44.71</v>
      </c>
      <c r="J48" s="24">
        <f>if(count(Actuals!J$4:J$76) =0, 0,ROUND(IF(Actuals!J48="",I48,IF(Actuals!J48 &gt; I48,(0.2*(Actuals!J48-I48)+I48),(0.5*(I48+Actuals!J48)))),2))</f>
        <v>44.71</v>
      </c>
      <c r="K48" s="24">
        <f>if(count(Actuals!K$4:K$76) =0, 0,ROUND(IF(Actuals!K48="",J48,IF(Actuals!K48 &gt; J48,(0.2*(Actuals!K48-J48)+J48),(0.5*(J48+Actuals!K48)))),2))</f>
        <v>44.71</v>
      </c>
      <c r="L48" s="24">
        <f>if(count(Actuals!L$4:L$76) =0, 0,ROUND(IF(Actuals!L48="",K48,IF(Actuals!L48 &gt; K48,(0.2*(Actuals!L48-K48)+K48),(0.5*(K48+Actuals!L48)))),2))</f>
        <v>44.71</v>
      </c>
      <c r="M48" s="24">
        <f>if(count(Actuals!M$4:M$76) =0, 0,ROUND(IF(Actuals!M48="",L48,IF(Actuals!M48 &gt; L48,(0.2*(Actuals!M48-L48)+L48),(0.5*(L48+Actuals!M48)))),2))</f>
        <v>44.71</v>
      </c>
      <c r="N48" s="24">
        <f>if(count(Actuals!N$4:N$76) =0, 0,ROUND(IF(Actuals!N48="",M48,IF(Actuals!N48 &gt; M48,(0.2*(Actuals!N48-M48)+M48),(0.5*(M48+Actuals!N48)))),2))</f>
        <v>44.71</v>
      </c>
      <c r="O48" s="24">
        <f>if(count(Actuals!O$4:O$76) =0, 0,ROUND(IF(Actuals!O48="",N48,IF(Actuals!O48 &gt; N48,(0.2*(Actuals!O48-N48)+N48),(0.5*(N48+Actuals!O48)))),2))</f>
        <v>44.71</v>
      </c>
      <c r="P48" s="24">
        <f>if(count(Actuals!P$4:P$76) =0, 0,ROUND(IF(Actuals!P48="",O48,IF(Actuals!P48 &gt; O48,(0.2*(Actuals!P48-O48)+O48),(0.5*(O48+Actuals!P48)))),2))</f>
        <v>44.71</v>
      </c>
      <c r="Q48" s="24">
        <f>if(count(Actuals!Q$4:Q$76) =0, 0,ROUND(IF(Actuals!Q48="",P48,IF(Actuals!Q48 &gt; P48,(0.2*(Actuals!Q48-P48)+P48),(0.5*(P48+Actuals!Q48)))),2))</f>
        <v>44.71</v>
      </c>
      <c r="R48" s="24">
        <f>if(count(Actuals!R$4:R$65) =0, 0,ROUND(IF(Actuals!R48="",Q48,IF(Actuals!R48 &gt; Q48,(0.2*(Actuals!R48-Q48)+Q48),(0.5*(Q48+Actuals!R48)))),2))</f>
        <v>0</v>
      </c>
    </row>
    <row r="49">
      <c r="A49" s="13" t="s">
        <v>25</v>
      </c>
      <c r="B49" s="24">
        <v>46.9</v>
      </c>
      <c r="C49" s="24">
        <f>if(count(Actuals!C$4:C$76) =0, 0,ROUND(IF(Actuals!C49="",B49,IF(Actuals!C49 &gt; B49,(0.2*(Actuals!C49-B49)+B49),(0.5*(B49+Actuals!C49)))),2))</f>
        <v>44.95</v>
      </c>
      <c r="D49" s="24">
        <f>if(count(Actuals!D$4:D$76) =0, 0,ROUND(IF(Actuals!D49="",C49,IF(Actuals!D49 &gt; C49,(0.2*(Actuals!D49-C49)+C49),(0.5*(C49+Actuals!D49)))),2))</f>
        <v>44.96</v>
      </c>
      <c r="E49" s="24">
        <f>if(count(Actuals!E$4:E$76) =0, 0,ROUND(IF(Actuals!E49="",D49,IF(Actuals!E49 &gt; D49,(0.2*(Actuals!E49-D49)+D49),(0.5*(D49+Actuals!E49)))),2))</f>
        <v>44.97</v>
      </c>
      <c r="F49" s="24">
        <f>if(count(Actuals!F$4:F$76) =0, 0,ROUND(IF(Actuals!F49="",E49,IF(Actuals!F49 &gt; E49,(0.2*(Actuals!F49-E49)+E49),(0.5*(E49+Actuals!F49)))),2))</f>
        <v>44.97</v>
      </c>
      <c r="G49" s="24">
        <f>if(count(Actuals!G$4:G$76) =0, 0,ROUND(IF(Actuals!G49="",F49,IF(Actuals!G49 &gt; F49,(0.2*(Actuals!G49-F49)+F49),(0.5*(F49+Actuals!G49)))),2))</f>
        <v>44.97</v>
      </c>
      <c r="H49" s="24">
        <f>if(count(Actuals!H$4:H$76) =0, 0,ROUND(IF(Actuals!H49="",G49,IF(Actuals!H49 &gt; G49,(0.2*(Actuals!H49-G49)+G49),(0.5*(G49+Actuals!H49)))),2))</f>
        <v>44.97</v>
      </c>
      <c r="I49" s="24">
        <f>if(count(Actuals!I$4:I$76) =0, 0,ROUND(IF(Actuals!I49="",H49,IF(Actuals!I49 &gt; H49,(0.2*(Actuals!I49-H49)+H49),(0.5*(H49+Actuals!I49)))),2))</f>
        <v>44.97</v>
      </c>
      <c r="J49" s="24">
        <f>if(count(Actuals!J$4:J$76) =0, 0,ROUND(IF(Actuals!J49="",I49,IF(Actuals!J49 &gt; I49,(0.2*(Actuals!J49-I49)+I49),(0.5*(I49+Actuals!J49)))),2))</f>
        <v>44.97</v>
      </c>
      <c r="K49" s="24">
        <f>if(count(Actuals!K$4:K$76) =0, 0,ROUND(IF(Actuals!K49="",J49,IF(Actuals!K49 &gt; J49,(0.2*(Actuals!K49-J49)+J49),(0.5*(J49+Actuals!K49)))),2))</f>
        <v>44.97</v>
      </c>
      <c r="L49" s="24">
        <f>if(count(Actuals!L$4:L$76) =0, 0,ROUND(IF(Actuals!L49="",K49,IF(Actuals!L49 &gt; K49,(0.2*(Actuals!L49-K49)+K49),(0.5*(K49+Actuals!L49)))),2))</f>
        <v>44.97</v>
      </c>
      <c r="M49" s="24">
        <f>if(count(Actuals!M$4:M$76) =0, 0,ROUND(IF(Actuals!M49="",L49,IF(Actuals!M49 &gt; L49,(0.2*(Actuals!M49-L49)+L49),(0.5*(L49+Actuals!M49)))),2))</f>
        <v>44.97</v>
      </c>
      <c r="N49" s="24">
        <f>if(count(Actuals!N$4:N$76) =0, 0,ROUND(IF(Actuals!N49="",M49,IF(Actuals!N49 &gt; M49,(0.2*(Actuals!N49-M49)+M49),(0.5*(M49+Actuals!N49)))),2))</f>
        <v>44.97</v>
      </c>
      <c r="O49" s="24">
        <f>if(count(Actuals!O$4:O$76) =0, 0,ROUND(IF(Actuals!O49="",N49,IF(Actuals!O49 &gt; N49,(0.2*(Actuals!O49-N49)+N49),(0.5*(N49+Actuals!O49)))),2))</f>
        <v>44.97</v>
      </c>
      <c r="P49" s="24">
        <f>if(count(Actuals!P$4:P$76) =0, 0,ROUND(IF(Actuals!P49="",O49,IF(Actuals!P49 &gt; O49,(0.2*(Actuals!P49-O49)+O49),(0.5*(O49+Actuals!P49)))),2))</f>
        <v>44.97</v>
      </c>
      <c r="Q49" s="24">
        <f>if(count(Actuals!Q$4:Q$76) =0, 0,ROUND(IF(Actuals!Q49="",P49,IF(Actuals!Q49 &gt; P49,(0.2*(Actuals!Q49-P49)+P49),(0.5*(P49+Actuals!Q49)))),2))</f>
        <v>44.97</v>
      </c>
      <c r="R49" s="24">
        <f>if(count(Actuals!R$4:R$65) =0, 0,ROUND(IF(Actuals!R49="",Q49,IF(Actuals!R49 &gt; Q49,(0.2*(Actuals!R49-Q49)+Q49),(0.5*(Q49+Actuals!R49)))),2))</f>
        <v>0</v>
      </c>
    </row>
    <row r="50">
      <c r="A50" s="13" t="s">
        <v>26</v>
      </c>
      <c r="B50" s="24">
        <v>46.71</v>
      </c>
      <c r="C50" s="24">
        <f>if(count(Actuals!C$4:C$76) =0, 0,ROUND(IF(Actuals!C50="",B50,IF(Actuals!C50 &gt; B50,(0.2*(Actuals!C50-B50)+B50),(0.5*(B50+Actuals!C50)))),2))</f>
        <v>46.77</v>
      </c>
      <c r="D50" s="24">
        <f>if(count(Actuals!D$4:D$76) =0, 0,ROUND(IF(Actuals!D50="",C50,IF(Actuals!D50 &gt; C50,(0.2*(Actuals!D50-C50)+C50),(0.5*(C50+Actuals!D50)))),2))</f>
        <v>46.77</v>
      </c>
      <c r="E50" s="24">
        <f>if(count(Actuals!E$4:E$76) =0, 0,ROUND(IF(Actuals!E50="",D50,IF(Actuals!E50 &gt; D50,(0.2*(Actuals!E50-D50)+D50),(0.5*(D50+Actuals!E50)))),2))</f>
        <v>46.39</v>
      </c>
      <c r="F50" s="24">
        <f>if(count(Actuals!F$4:F$76) =0, 0,ROUND(IF(Actuals!F50="",E50,IF(Actuals!F50 &gt; E50,(0.2*(Actuals!F50-E50)+E50),(0.5*(E50+Actuals!F50)))),2))</f>
        <v>46.39</v>
      </c>
      <c r="G50" s="24">
        <f>if(count(Actuals!G$4:G$76) =0, 0,ROUND(IF(Actuals!G50="",F50,IF(Actuals!G50 &gt; F50,(0.2*(Actuals!G50-F50)+F50),(0.5*(F50+Actuals!G50)))),2))</f>
        <v>46.39</v>
      </c>
      <c r="H50" s="24">
        <f>if(count(Actuals!H$4:H$76) =0, 0,ROUND(IF(Actuals!H50="",G50,IF(Actuals!H50 &gt; G50,(0.2*(Actuals!H50-G50)+G50),(0.5*(G50+Actuals!H50)))),2))</f>
        <v>46.39</v>
      </c>
      <c r="I50" s="24">
        <f>if(count(Actuals!I$4:I$76) =0, 0,ROUND(IF(Actuals!I50="",H50,IF(Actuals!I50 &gt; H50,(0.2*(Actuals!I50-H50)+H50),(0.5*(H50+Actuals!I50)))),2))</f>
        <v>46.39</v>
      </c>
      <c r="J50" s="24">
        <f>if(count(Actuals!J$4:J$76) =0, 0,ROUND(IF(Actuals!J50="",I50,IF(Actuals!J50 &gt; I50,(0.2*(Actuals!J50-I50)+I50),(0.5*(I50+Actuals!J50)))),2))</f>
        <v>46.39</v>
      </c>
      <c r="K50" s="24">
        <f>if(count(Actuals!K$4:K$76) =0, 0,ROUND(IF(Actuals!K50="",J50,IF(Actuals!K50 &gt; J50,(0.2*(Actuals!K50-J50)+J50),(0.5*(J50+Actuals!K50)))),2))</f>
        <v>46.39</v>
      </c>
      <c r="L50" s="24">
        <f>if(count(Actuals!L$4:L$76) =0, 0,ROUND(IF(Actuals!L50="",K50,IF(Actuals!L50 &gt; K50,(0.2*(Actuals!L50-K50)+K50),(0.5*(K50+Actuals!L50)))),2))</f>
        <v>46.39</v>
      </c>
      <c r="M50" s="24">
        <f>if(count(Actuals!M$4:M$76) =0, 0,ROUND(IF(Actuals!M50="",L50,IF(Actuals!M50 &gt; L50,(0.2*(Actuals!M50-L50)+L50),(0.5*(L50+Actuals!M50)))),2))</f>
        <v>46.39</v>
      </c>
      <c r="N50" s="24">
        <f>if(count(Actuals!N$4:N$76) =0, 0,ROUND(IF(Actuals!N50="",M50,IF(Actuals!N50 &gt; M50,(0.2*(Actuals!N50-M50)+M50),(0.5*(M50+Actuals!N50)))),2))</f>
        <v>46.39</v>
      </c>
      <c r="O50" s="24">
        <f>if(count(Actuals!O$4:O$76) =0, 0,ROUND(IF(Actuals!O50="",N50,IF(Actuals!O50 &gt; N50,(0.2*(Actuals!O50-N50)+N50),(0.5*(N50+Actuals!O50)))),2))</f>
        <v>46.39</v>
      </c>
      <c r="P50" s="24">
        <f>if(count(Actuals!P$4:P$76) =0, 0,ROUND(IF(Actuals!P50="",O50,IF(Actuals!P50 &gt; O50,(0.2*(Actuals!P50-O50)+O50),(0.5*(O50+Actuals!P50)))),2))</f>
        <v>46.39</v>
      </c>
      <c r="Q50" s="24">
        <f>if(count(Actuals!Q$4:Q$76) =0, 0,ROUND(IF(Actuals!Q50="",P50,IF(Actuals!Q50 &gt; P50,(0.2*(Actuals!Q50-P50)+P50),(0.5*(P50+Actuals!Q50)))),2))</f>
        <v>46.39</v>
      </c>
      <c r="R50" s="24">
        <f>if(count(Actuals!R$4:R$65) =0, 0,ROUND(IF(Actuals!R50="",Q50,IF(Actuals!R50 &gt; Q50,(0.2*(Actuals!R50-Q50)+Q50),(0.5*(Q50+Actuals!R50)))),2))</f>
        <v>0</v>
      </c>
    </row>
    <row r="51">
      <c r="A51" s="13" t="s">
        <v>218</v>
      </c>
      <c r="B51" s="24">
        <v>42.2</v>
      </c>
      <c r="C51" s="24">
        <f>if(count(Actuals!C$4:C$76) =0, 0,ROUND(IF(Actuals!C51="",B51,IF(Actuals!C51 &gt; B51,(0.2*(Actuals!C51-B51)+B51),(0.5*(B51+Actuals!C51)))),2))</f>
        <v>42.2</v>
      </c>
      <c r="D51" s="24">
        <f>if(count(Actuals!D$4:D$76) =0, 0,ROUND(IF(Actuals!D51="",C51,IF(Actuals!D51 &gt; C51,(0.2*(Actuals!D51-C51)+C51),(0.5*(C51+Actuals!D51)))),2))</f>
        <v>42.2</v>
      </c>
      <c r="E51" s="24">
        <f>if(count(Actuals!E$4:E$76) =0, 0,ROUND(IF(Actuals!E51="",D51,IF(Actuals!E51 &gt; D51,(0.2*(Actuals!E51-D51)+D51),(0.5*(D51+Actuals!E51)))),2))</f>
        <v>42.2</v>
      </c>
      <c r="F51" s="24">
        <f>if(count(Actuals!F$4:F$76) =0, 0,ROUND(IF(Actuals!F51="",E51,IF(Actuals!F51 &gt; E51,(0.2*(Actuals!F51-E51)+E51),(0.5*(E51+Actuals!F51)))),2))</f>
        <v>42.2</v>
      </c>
      <c r="G51" s="24">
        <f>if(count(Actuals!G$4:G$76) =0, 0,ROUND(IF(Actuals!G51="",F51,IF(Actuals!G51 &gt; F51,(0.2*(Actuals!G51-F51)+F51),(0.5*(F51+Actuals!G51)))),2))</f>
        <v>42.2</v>
      </c>
      <c r="H51" s="24">
        <f>if(count(Actuals!H$4:H$76) =0, 0,ROUND(IF(Actuals!H51="",G51,IF(Actuals!H51 &gt; G51,(0.2*(Actuals!H51-G51)+G51),(0.5*(G51+Actuals!H51)))),2))</f>
        <v>42.2</v>
      </c>
      <c r="I51" s="24">
        <f>if(count(Actuals!I$4:I$76) =0, 0,ROUND(IF(Actuals!I51="",H51,IF(Actuals!I51 &gt; H51,(0.2*(Actuals!I51-H51)+H51),(0.5*(H51+Actuals!I51)))),2))</f>
        <v>42.2</v>
      </c>
      <c r="J51" s="24">
        <f>if(count(Actuals!J$4:J$76) =0, 0,ROUND(IF(Actuals!J51="",I51,IF(Actuals!J51 &gt; I51,(0.2*(Actuals!J51-I51)+I51),(0.5*(I51+Actuals!J51)))),2))</f>
        <v>42.2</v>
      </c>
      <c r="K51" s="24">
        <f>if(count(Actuals!K$4:K$76) =0, 0,ROUND(IF(Actuals!K51="",J51,IF(Actuals!K51 &gt; J51,(0.2*(Actuals!K51-J51)+J51),(0.5*(J51+Actuals!K51)))),2))</f>
        <v>42.2</v>
      </c>
      <c r="L51" s="24">
        <f>if(count(Actuals!L$4:L$76) =0, 0,ROUND(IF(Actuals!L51="",K51,IF(Actuals!L51 &gt; K51,(0.2*(Actuals!L51-K51)+K51),(0.5*(K51+Actuals!L51)))),2))</f>
        <v>42.2</v>
      </c>
      <c r="M51" s="24">
        <f>if(count(Actuals!M$4:M$76) =0, 0,ROUND(IF(Actuals!M51="",L51,IF(Actuals!M51 &gt; L51,(0.2*(Actuals!M51-L51)+L51),(0.5*(L51+Actuals!M51)))),2))</f>
        <v>42.2</v>
      </c>
      <c r="N51" s="24">
        <f>if(count(Actuals!N$4:N$76) =0, 0,ROUND(IF(Actuals!N51="",M51,IF(Actuals!N51 &gt; M51,(0.2*(Actuals!N51-M51)+M51),(0.5*(M51+Actuals!N51)))),2))</f>
        <v>42.2</v>
      </c>
      <c r="O51" s="24">
        <f>if(count(Actuals!O$4:O$76) =0, 0,ROUND(IF(Actuals!O51="",N51,IF(Actuals!O51 &gt; N51,(0.2*(Actuals!O51-N51)+N51),(0.5*(N51+Actuals!O51)))),2))</f>
        <v>42.2</v>
      </c>
      <c r="P51" s="24">
        <f>if(count(Actuals!P$4:P$76) =0, 0,ROUND(IF(Actuals!P51="",O51,IF(Actuals!P51 &gt; O51,(0.2*(Actuals!P51-O51)+O51),(0.5*(O51+Actuals!P51)))),2))</f>
        <v>42.2</v>
      </c>
      <c r="Q51" s="24">
        <f>if(count(Actuals!Q$4:Q$76) =0, 0,ROUND(IF(Actuals!Q51="",P51,IF(Actuals!Q51 &gt; P51,(0.2*(Actuals!Q51-P51)+P51),(0.5*(P51+Actuals!Q51)))),2))</f>
        <v>42.2</v>
      </c>
      <c r="R51" s="24">
        <f>if(count(Actuals!R$4:R$65) =0, 0,ROUND(IF(Actuals!R51="",Q51,IF(Actuals!R51 &gt; Q51,(0.2*(Actuals!R51-Q51)+Q51),(0.5*(Q51+Actuals!R51)))),2))</f>
        <v>0</v>
      </c>
    </row>
    <row r="52">
      <c r="A52" s="13" t="s">
        <v>219</v>
      </c>
      <c r="B52" s="24">
        <v>45.0</v>
      </c>
      <c r="C52" s="24">
        <f>if(count(Actuals!C$4:C$76) =0, 0,ROUND(IF(Actuals!C52="",B52,IF(Actuals!C52 &gt; B52,(0.2*(Actuals!C52-B52)+B52),(0.5*(B52+Actuals!C52)))),2))</f>
        <v>45</v>
      </c>
      <c r="D52" s="24">
        <f>if(count(Actuals!D$4:D$76) =0, 0,ROUND(IF(Actuals!D52="",C52,IF(Actuals!D52 &gt; C52,(0.2*(Actuals!D52-C52)+C52),(0.5*(C52+Actuals!D52)))),2))</f>
        <v>45</v>
      </c>
      <c r="E52" s="24">
        <f>if(count(Actuals!E$4:E$76) =0, 0,ROUND(IF(Actuals!E52="",D52,IF(Actuals!E52 &gt; D52,(0.2*(Actuals!E52-D52)+D52),(0.5*(D52+Actuals!E52)))),2))</f>
        <v>45</v>
      </c>
      <c r="F52" s="24">
        <f>if(count(Actuals!F$4:F$76) =0, 0,ROUND(IF(Actuals!F52="",E52,IF(Actuals!F52 &gt; E52,(0.2*(Actuals!F52-E52)+E52),(0.5*(E52+Actuals!F52)))),2))</f>
        <v>45</v>
      </c>
      <c r="G52" s="24">
        <f>if(count(Actuals!G$4:G$76) =0, 0,ROUND(IF(Actuals!G52="",F52,IF(Actuals!G52 &gt; F52,(0.2*(Actuals!G52-F52)+F52),(0.5*(F52+Actuals!G52)))),2))</f>
        <v>45</v>
      </c>
      <c r="H52" s="24">
        <f>if(count(Actuals!H$4:H$76) =0, 0,ROUND(IF(Actuals!H52="",G52,IF(Actuals!H52 &gt; G52,(0.2*(Actuals!H52-G52)+G52),(0.5*(G52+Actuals!H52)))),2))</f>
        <v>45</v>
      </c>
      <c r="I52" s="24">
        <f>if(count(Actuals!I$4:I$76) =0, 0,ROUND(IF(Actuals!I52="",H52,IF(Actuals!I52 &gt; H52,(0.2*(Actuals!I52-H52)+H52),(0.5*(H52+Actuals!I52)))),2))</f>
        <v>45</v>
      </c>
      <c r="J52" s="24">
        <f>if(count(Actuals!J$4:J$76) =0, 0,ROUND(IF(Actuals!J52="",I52,IF(Actuals!J52 &gt; I52,(0.2*(Actuals!J52-I52)+I52),(0.5*(I52+Actuals!J52)))),2))</f>
        <v>45</v>
      </c>
      <c r="K52" s="24">
        <f>if(count(Actuals!K$4:K$76) =0, 0,ROUND(IF(Actuals!K52="",J52,IF(Actuals!K52 &gt; J52,(0.2*(Actuals!K52-J52)+J52),(0.5*(J52+Actuals!K52)))),2))</f>
        <v>45</v>
      </c>
      <c r="L52" s="24">
        <f>if(count(Actuals!L$4:L$76) =0, 0,ROUND(IF(Actuals!L52="",K52,IF(Actuals!L52 &gt; K52,(0.2*(Actuals!L52-K52)+K52),(0.5*(K52+Actuals!L52)))),2))</f>
        <v>45</v>
      </c>
      <c r="M52" s="24">
        <f>if(count(Actuals!M$4:M$76) =0, 0,ROUND(IF(Actuals!M52="",L52,IF(Actuals!M52 &gt; L52,(0.2*(Actuals!M52-L52)+L52),(0.5*(L52+Actuals!M52)))),2))</f>
        <v>45</v>
      </c>
      <c r="N52" s="24">
        <f>if(count(Actuals!N$4:N$76) =0, 0,ROUND(IF(Actuals!N52="",M52,IF(Actuals!N52 &gt; M52,(0.2*(Actuals!N52-M52)+M52),(0.5*(M52+Actuals!N52)))),2))</f>
        <v>45</v>
      </c>
      <c r="O52" s="24">
        <f>if(count(Actuals!O$4:O$76) =0, 0,ROUND(IF(Actuals!O52="",N52,IF(Actuals!O52 &gt; N52,(0.2*(Actuals!O52-N52)+N52),(0.5*(N52+Actuals!O52)))),2))</f>
        <v>45</v>
      </c>
      <c r="P52" s="24">
        <f>if(count(Actuals!P$4:P$76) =0, 0,ROUND(IF(Actuals!P52="",O52,IF(Actuals!P52 &gt; O52,(0.2*(Actuals!P52-O52)+O52),(0.5*(O52+Actuals!P52)))),2))</f>
        <v>45</v>
      </c>
      <c r="Q52" s="24">
        <f>if(count(Actuals!Q$4:Q$76) =0, 0,ROUND(IF(Actuals!Q52="",P52,IF(Actuals!Q52 &gt; P52,(0.2*(Actuals!Q52-P52)+P52),(0.5*(P52+Actuals!Q52)))),2))</f>
        <v>45</v>
      </c>
      <c r="R52" s="24">
        <f>if(count(Actuals!R$4:R$65) =0, 0,ROUND(IF(Actuals!R52="",Q52,IF(Actuals!R52 &gt; Q52,(0.2*(Actuals!R52-Q52)+Q52),(0.5*(Q52+Actuals!R52)))),2))</f>
        <v>0</v>
      </c>
    </row>
    <row r="53">
      <c r="A53" s="13" t="s">
        <v>220</v>
      </c>
      <c r="B53" s="24">
        <v>36.0</v>
      </c>
      <c r="C53" s="24">
        <f>if(count(Actuals!C$4:C$76) =0, 0,ROUND(IF(Actuals!C53="",B53,IF(Actuals!C53 &gt; B53,(0.2*(Actuals!C53-B53)+B53),(0.5*(B53+Actuals!C53)))),2))</f>
        <v>36</v>
      </c>
      <c r="D53" s="24">
        <f>if(count(Actuals!D$4:D$76) =0, 0,ROUND(IF(Actuals!D53="",C53,IF(Actuals!D53 &gt; C53,(0.2*(Actuals!D53-C53)+C53),(0.5*(C53+Actuals!D53)))),2))</f>
        <v>36</v>
      </c>
      <c r="E53" s="24">
        <f>if(count(Actuals!E$4:E$76) =0, 0,ROUND(IF(Actuals!E53="",D53,IF(Actuals!E53 &gt; D53,(0.2*(Actuals!E53-D53)+D53),(0.5*(D53+Actuals!E53)))),2))</f>
        <v>36</v>
      </c>
      <c r="F53" s="24">
        <f>if(count(Actuals!F$4:F$76) =0, 0,ROUND(IF(Actuals!F53="",E53,IF(Actuals!F53 &gt; E53,(0.2*(Actuals!F53-E53)+E53),(0.5*(E53+Actuals!F53)))),2))</f>
        <v>36</v>
      </c>
      <c r="G53" s="24">
        <f>if(count(Actuals!G$4:G$76) =0, 0,ROUND(IF(Actuals!G53="",F53,IF(Actuals!G53 &gt; F53,(0.2*(Actuals!G53-F53)+F53),(0.5*(F53+Actuals!G53)))),2))</f>
        <v>36</v>
      </c>
      <c r="H53" s="24">
        <f>if(count(Actuals!H$4:H$76) =0, 0,ROUND(IF(Actuals!H53="",G53,IF(Actuals!H53 &gt; G53,(0.2*(Actuals!H53-G53)+G53),(0.5*(G53+Actuals!H53)))),2))</f>
        <v>36</v>
      </c>
      <c r="I53" s="24">
        <f>if(count(Actuals!I$4:I$76) =0, 0,ROUND(IF(Actuals!I53="",H53,IF(Actuals!I53 &gt; H53,(0.2*(Actuals!I53-H53)+H53),(0.5*(H53+Actuals!I53)))),2))</f>
        <v>36</v>
      </c>
      <c r="J53" s="24">
        <f>if(count(Actuals!J$4:J$76) =0, 0,ROUND(IF(Actuals!J53="",I53,IF(Actuals!J53 &gt; I53,(0.2*(Actuals!J53-I53)+I53),(0.5*(I53+Actuals!J53)))),2))</f>
        <v>36</v>
      </c>
      <c r="K53" s="24">
        <f>if(count(Actuals!K$4:K$76) =0, 0,ROUND(IF(Actuals!K53="",J53,IF(Actuals!K53 &gt; J53,(0.2*(Actuals!K53-J53)+J53),(0.5*(J53+Actuals!K53)))),2))</f>
        <v>36</v>
      </c>
      <c r="L53" s="24">
        <f>if(count(Actuals!L$4:L$76) =0, 0,ROUND(IF(Actuals!L53="",K53,IF(Actuals!L53 &gt; K53,(0.2*(Actuals!L53-K53)+K53),(0.5*(K53+Actuals!L53)))),2))</f>
        <v>36</v>
      </c>
      <c r="M53" s="24">
        <f>if(count(Actuals!M$4:M$76) =0, 0,ROUND(IF(Actuals!M53="",L53,IF(Actuals!M53 &gt; L53,(0.2*(Actuals!M53-L53)+L53),(0.5*(L53+Actuals!M53)))),2))</f>
        <v>36</v>
      </c>
      <c r="N53" s="24">
        <f>if(count(Actuals!N$4:N$76) =0, 0,ROUND(IF(Actuals!N53="",M53,IF(Actuals!N53 &gt; M53,(0.2*(Actuals!N53-M53)+M53),(0.5*(M53+Actuals!N53)))),2))</f>
        <v>36</v>
      </c>
      <c r="O53" s="24">
        <f>if(count(Actuals!O$4:O$76) =0, 0,ROUND(IF(Actuals!O53="",N53,IF(Actuals!O53 &gt; N53,(0.2*(Actuals!O53-N53)+N53),(0.5*(N53+Actuals!O53)))),2))</f>
        <v>36</v>
      </c>
      <c r="P53" s="24">
        <f>if(count(Actuals!P$4:P$76) =0, 0,ROUND(IF(Actuals!P53="",O53,IF(Actuals!P53 &gt; O53,(0.2*(Actuals!P53-O53)+O53),(0.5*(O53+Actuals!P53)))),2))</f>
        <v>36</v>
      </c>
      <c r="Q53" s="24">
        <f>if(count(Actuals!Q$4:Q$76) =0, 0,ROUND(IF(Actuals!Q53="",P53,IF(Actuals!Q53 &gt; P53,(0.2*(Actuals!Q53-P53)+P53),(0.5*(P53+Actuals!Q53)))),2))</f>
        <v>36</v>
      </c>
      <c r="R53" s="24">
        <f>if(count(Actuals!R$4:R$65) =0, 0,ROUND(IF(Actuals!R53="",Q53,IF(Actuals!R53 &gt; Q53,(0.2*(Actuals!R53-Q53)+Q53),(0.5*(Q53+Actuals!R53)))),2))</f>
        <v>0</v>
      </c>
    </row>
    <row r="54">
      <c r="A54" s="13" t="s">
        <v>221</v>
      </c>
      <c r="B54" s="24">
        <v>36.0</v>
      </c>
      <c r="C54" s="24">
        <f>if(count(Actuals!C$4:C$76) =0, 0,ROUND(IF(Actuals!C54="",B54,IF(Actuals!C54 &gt; B54,(0.2*(Actuals!C54-B54)+B54),(0.5*(B54+Actuals!C54)))),2))</f>
        <v>36</v>
      </c>
      <c r="D54" s="24">
        <f>if(count(Actuals!D$4:D$76) =0, 0,ROUND(IF(Actuals!D54="",C54,IF(Actuals!D54 &gt; C54,(0.2*(Actuals!D54-C54)+C54),(0.5*(C54+Actuals!D54)))),2))</f>
        <v>36</v>
      </c>
      <c r="E54" s="24">
        <f>if(count(Actuals!E$4:E$76) =0, 0,ROUND(IF(Actuals!E54="",D54,IF(Actuals!E54 &gt; D54,(0.2*(Actuals!E54-D54)+D54),(0.5*(D54+Actuals!E54)))),2))</f>
        <v>36</v>
      </c>
      <c r="F54" s="24">
        <f>if(count(Actuals!F$4:F$76) =0, 0,ROUND(IF(Actuals!F54="",E54,IF(Actuals!F54 &gt; E54,(0.2*(Actuals!F54-E54)+E54),(0.5*(E54+Actuals!F54)))),2))</f>
        <v>36</v>
      </c>
      <c r="G54" s="24">
        <f>if(count(Actuals!G$4:G$76) =0, 0,ROUND(IF(Actuals!G54="",F54,IF(Actuals!G54 &gt; F54,(0.2*(Actuals!G54-F54)+F54),(0.5*(F54+Actuals!G54)))),2))</f>
        <v>36</v>
      </c>
      <c r="H54" s="24">
        <f>if(count(Actuals!H$4:H$76) =0, 0,ROUND(IF(Actuals!H54="",G54,IF(Actuals!H54 &gt; G54,(0.2*(Actuals!H54-G54)+G54),(0.5*(G54+Actuals!H54)))),2))</f>
        <v>36</v>
      </c>
      <c r="I54" s="24">
        <f>if(count(Actuals!I$4:I$76) =0, 0,ROUND(IF(Actuals!I54="",H54,IF(Actuals!I54 &gt; H54,(0.2*(Actuals!I54-H54)+H54),(0.5*(H54+Actuals!I54)))),2))</f>
        <v>36</v>
      </c>
      <c r="J54" s="24">
        <f>if(count(Actuals!J$4:J$76) =0, 0,ROUND(IF(Actuals!J54="",I54,IF(Actuals!J54 &gt; I54,(0.2*(Actuals!J54-I54)+I54),(0.5*(I54+Actuals!J54)))),2))</f>
        <v>36</v>
      </c>
      <c r="K54" s="24">
        <f>if(count(Actuals!K$4:K$76) =0, 0,ROUND(IF(Actuals!K54="",J54,IF(Actuals!K54 &gt; J54,(0.2*(Actuals!K54-J54)+J54),(0.5*(J54+Actuals!K54)))),2))</f>
        <v>36</v>
      </c>
      <c r="L54" s="24">
        <f>if(count(Actuals!L$4:L$76) =0, 0,ROUND(IF(Actuals!L54="",K54,IF(Actuals!L54 &gt; K54,(0.2*(Actuals!L54-K54)+K54),(0.5*(K54+Actuals!L54)))),2))</f>
        <v>36</v>
      </c>
      <c r="M54" s="24">
        <f>if(count(Actuals!M$4:M$76) =0, 0,ROUND(IF(Actuals!M54="",L54,IF(Actuals!M54 &gt; L54,(0.2*(Actuals!M54-L54)+L54),(0.5*(L54+Actuals!M54)))),2))</f>
        <v>36</v>
      </c>
      <c r="N54" s="24">
        <f>if(count(Actuals!N$4:N$76) =0, 0,ROUND(IF(Actuals!N54="",M54,IF(Actuals!N54 &gt; M54,(0.2*(Actuals!N54-M54)+M54),(0.5*(M54+Actuals!N54)))),2))</f>
        <v>36</v>
      </c>
      <c r="O54" s="24">
        <f>if(count(Actuals!O$4:O$76) =0, 0,ROUND(IF(Actuals!O54="",N54,IF(Actuals!O54 &gt; N54,(0.2*(Actuals!O54-N54)+N54),(0.5*(N54+Actuals!O54)))),2))</f>
        <v>36</v>
      </c>
      <c r="P54" s="24">
        <f>if(count(Actuals!P$4:P$76) =0, 0,ROUND(IF(Actuals!P54="",O54,IF(Actuals!P54 &gt; O54,(0.2*(Actuals!P54-O54)+O54),(0.5*(O54+Actuals!P54)))),2))</f>
        <v>36</v>
      </c>
      <c r="Q54" s="24">
        <f>if(count(Actuals!Q$4:Q$76) =0, 0,ROUND(IF(Actuals!Q54="",P54,IF(Actuals!Q54 &gt; P54,(0.2*(Actuals!Q54-P54)+P54),(0.5*(P54+Actuals!Q54)))),2))</f>
        <v>36</v>
      </c>
      <c r="R54" s="24">
        <f>if(count(Actuals!R$4:R$65) =0, 0,ROUND(IF(Actuals!R54="",Q54,IF(Actuals!R54 &gt; Q54,(0.2*(Actuals!R54-Q54)+Q54),(0.5*(Q54+Actuals!R54)))),2))</f>
        <v>0</v>
      </c>
    </row>
    <row r="55">
      <c r="A55" s="13" t="s">
        <v>222</v>
      </c>
      <c r="B55" s="24">
        <v>36.0</v>
      </c>
      <c r="C55" s="24">
        <f>if(count(Actuals!C$4:C$76) =0, 0,ROUND(IF(Actuals!C55="",B55,IF(Actuals!C55 &gt; B55,(0.2*(Actuals!C55-B55)+B55),(0.5*(B55+Actuals!C55)))),2))</f>
        <v>36</v>
      </c>
      <c r="D55" s="24">
        <f>if(count(Actuals!D$4:D$76) =0, 0,ROUND(IF(Actuals!D55="",C55,IF(Actuals!D55 &gt; C55,(0.2*(Actuals!D55-C55)+C55),(0.5*(C55+Actuals!D55)))),2))</f>
        <v>36</v>
      </c>
      <c r="E55" s="24">
        <f>if(count(Actuals!E$4:E$76) =0, 0,ROUND(IF(Actuals!E55="",D55,IF(Actuals!E55 &gt; D55,(0.2*(Actuals!E55-D55)+D55),(0.5*(D55+Actuals!E55)))),2))</f>
        <v>36</v>
      </c>
      <c r="F55" s="24">
        <f>if(count(Actuals!F$4:F$76) =0, 0,ROUND(IF(Actuals!F55="",E55,IF(Actuals!F55 &gt; E55,(0.2*(Actuals!F55-E55)+E55),(0.5*(E55+Actuals!F55)))),2))</f>
        <v>36</v>
      </c>
      <c r="G55" s="24">
        <f>if(count(Actuals!G$4:G$76) =0, 0,ROUND(IF(Actuals!G55="",F55,IF(Actuals!G55 &gt; F55,(0.2*(Actuals!G55-F55)+F55),(0.5*(F55+Actuals!G55)))),2))</f>
        <v>36</v>
      </c>
      <c r="H55" s="24">
        <f>if(count(Actuals!H$4:H$76) =0, 0,ROUND(IF(Actuals!H55="",G55,IF(Actuals!H55 &gt; G55,(0.2*(Actuals!H55-G55)+G55),(0.5*(G55+Actuals!H55)))),2))</f>
        <v>36</v>
      </c>
      <c r="I55" s="24">
        <f>if(count(Actuals!I$4:I$76) =0, 0,ROUND(IF(Actuals!I55="",H55,IF(Actuals!I55 &gt; H55,(0.2*(Actuals!I55-H55)+H55),(0.5*(H55+Actuals!I55)))),2))</f>
        <v>36</v>
      </c>
      <c r="J55" s="24">
        <f>if(count(Actuals!J$4:J$76) =0, 0,ROUND(IF(Actuals!J55="",I55,IF(Actuals!J55 &gt; I55,(0.2*(Actuals!J55-I55)+I55),(0.5*(I55+Actuals!J55)))),2))</f>
        <v>36</v>
      </c>
      <c r="K55" s="24">
        <f>if(count(Actuals!K$4:K$76) =0, 0,ROUND(IF(Actuals!K55="",J55,IF(Actuals!K55 &gt; J55,(0.2*(Actuals!K55-J55)+J55),(0.5*(J55+Actuals!K55)))),2))</f>
        <v>36</v>
      </c>
      <c r="L55" s="24">
        <f>if(count(Actuals!L$4:L$76) =0, 0,ROUND(IF(Actuals!L55="",K55,IF(Actuals!L55 &gt; K55,(0.2*(Actuals!L55-K55)+K55),(0.5*(K55+Actuals!L55)))),2))</f>
        <v>36</v>
      </c>
      <c r="M55" s="24">
        <f>if(count(Actuals!M$4:M$76) =0, 0,ROUND(IF(Actuals!M55="",L55,IF(Actuals!M55 &gt; L55,(0.2*(Actuals!M55-L55)+L55),(0.5*(L55+Actuals!M55)))),2))</f>
        <v>36</v>
      </c>
      <c r="N55" s="24">
        <f>if(count(Actuals!N$4:N$76) =0, 0,ROUND(IF(Actuals!N55="",M55,IF(Actuals!N55 &gt; M55,(0.2*(Actuals!N55-M55)+M55),(0.5*(M55+Actuals!N55)))),2))</f>
        <v>36</v>
      </c>
      <c r="O55" s="24">
        <f>if(count(Actuals!O$4:O$76) =0, 0,ROUND(IF(Actuals!O55="",N55,IF(Actuals!O55 &gt; N55,(0.2*(Actuals!O55-N55)+N55),(0.5*(N55+Actuals!O55)))),2))</f>
        <v>36</v>
      </c>
      <c r="P55" s="24">
        <f>if(count(Actuals!P$4:P$76) =0, 0,ROUND(IF(Actuals!P55="",O55,IF(Actuals!P55 &gt; O55,(0.2*(Actuals!P55-O55)+O55),(0.5*(O55+Actuals!P55)))),2))</f>
        <v>36</v>
      </c>
      <c r="Q55" s="24">
        <f>if(count(Actuals!Q$4:Q$76) =0, 0,ROUND(IF(Actuals!Q55="",P55,IF(Actuals!Q55 &gt; P55,(0.2*(Actuals!Q55-P55)+P55),(0.5*(P55+Actuals!Q55)))),2))</f>
        <v>36</v>
      </c>
      <c r="R55" s="24">
        <f>if(count(Actuals!R$4:R$65) =0, 0,ROUND(IF(Actuals!R55="",Q55,IF(Actuals!R55 &gt; Q55,(0.2*(Actuals!R55-Q55)+Q55),(0.5*(Q55+Actuals!R55)))),2))</f>
        <v>0</v>
      </c>
    </row>
    <row r="56">
      <c r="A56" s="13" t="s">
        <v>223</v>
      </c>
      <c r="B56" s="24">
        <v>36.0</v>
      </c>
      <c r="C56" s="24">
        <f>if(count(Actuals!C$4:C$76) =0, 0,ROUND(IF(Actuals!C56="",B56,IF(Actuals!C56 &gt; B56,(0.2*(Actuals!C56-B56)+B56),(0.5*(B56+Actuals!C56)))),2))</f>
        <v>36</v>
      </c>
      <c r="D56" s="24">
        <f>if(count(Actuals!D$4:D$76) =0, 0,ROUND(IF(Actuals!D56="",C56,IF(Actuals!D56 &gt; C56,(0.2*(Actuals!D56-C56)+C56),(0.5*(C56+Actuals!D56)))),2))</f>
        <v>36</v>
      </c>
      <c r="E56" s="24">
        <f>if(count(Actuals!E$4:E$76) =0, 0,ROUND(IF(Actuals!E56="",D56,IF(Actuals!E56 &gt; D56,(0.2*(Actuals!E56-D56)+D56),(0.5*(D56+Actuals!E56)))),2))</f>
        <v>36</v>
      </c>
      <c r="F56" s="24">
        <f>if(count(Actuals!F$4:F$76) =0, 0,ROUND(IF(Actuals!F56="",E56,IF(Actuals!F56 &gt; E56,(0.2*(Actuals!F56-E56)+E56),(0.5*(E56+Actuals!F56)))),2))</f>
        <v>36</v>
      </c>
      <c r="G56" s="24">
        <f>if(count(Actuals!G$4:G$76) =0, 0,ROUND(IF(Actuals!G56="",F56,IF(Actuals!G56 &gt; F56,(0.2*(Actuals!G56-F56)+F56),(0.5*(F56+Actuals!G56)))),2))</f>
        <v>36</v>
      </c>
      <c r="H56" s="24">
        <f>if(count(Actuals!H$4:H$76) =0, 0,ROUND(IF(Actuals!H56="",G56,IF(Actuals!H56 &gt; G56,(0.2*(Actuals!H56-G56)+G56),(0.5*(G56+Actuals!H56)))),2))</f>
        <v>36</v>
      </c>
      <c r="I56" s="24">
        <f>if(count(Actuals!I$4:I$76) =0, 0,ROUND(IF(Actuals!I56="",H56,IF(Actuals!I56 &gt; H56,(0.2*(Actuals!I56-H56)+H56),(0.5*(H56+Actuals!I56)))),2))</f>
        <v>36</v>
      </c>
      <c r="J56" s="24">
        <f>if(count(Actuals!J$4:J$76) =0, 0,ROUND(IF(Actuals!J56="",I56,IF(Actuals!J56 &gt; I56,(0.2*(Actuals!J56-I56)+I56),(0.5*(I56+Actuals!J56)))),2))</f>
        <v>36</v>
      </c>
      <c r="K56" s="24">
        <f>if(count(Actuals!K$4:K$76) =0, 0,ROUND(IF(Actuals!K56="",J56,IF(Actuals!K56 &gt; J56,(0.2*(Actuals!K56-J56)+J56),(0.5*(J56+Actuals!K56)))),2))</f>
        <v>36</v>
      </c>
      <c r="L56" s="24">
        <f>if(count(Actuals!L$4:L$76) =0, 0,ROUND(IF(Actuals!L56="",K56,IF(Actuals!L56 &gt; K56,(0.2*(Actuals!L56-K56)+K56),(0.5*(K56+Actuals!L56)))),2))</f>
        <v>36</v>
      </c>
      <c r="M56" s="24">
        <f>if(count(Actuals!M$4:M$76) =0, 0,ROUND(IF(Actuals!M56="",L56,IF(Actuals!M56 &gt; L56,(0.2*(Actuals!M56-L56)+L56),(0.5*(L56+Actuals!M56)))),2))</f>
        <v>36</v>
      </c>
      <c r="N56" s="24">
        <f>if(count(Actuals!N$4:N$76) =0, 0,ROUND(IF(Actuals!N56="",M56,IF(Actuals!N56 &gt; M56,(0.2*(Actuals!N56-M56)+M56),(0.5*(M56+Actuals!N56)))),2))</f>
        <v>36</v>
      </c>
      <c r="O56" s="24">
        <f>if(count(Actuals!O$4:O$76) =0, 0,ROUND(IF(Actuals!O56="",N56,IF(Actuals!O56 &gt; N56,(0.2*(Actuals!O56-N56)+N56),(0.5*(N56+Actuals!O56)))),2))</f>
        <v>36</v>
      </c>
      <c r="P56" s="24">
        <f>if(count(Actuals!P$4:P$76) =0, 0,ROUND(IF(Actuals!P56="",O56,IF(Actuals!P56 &gt; O56,(0.2*(Actuals!P56-O56)+O56),(0.5*(O56+Actuals!P56)))),2))</f>
        <v>36</v>
      </c>
      <c r="Q56" s="24">
        <f>if(count(Actuals!Q$4:Q$76) =0, 0,ROUND(IF(Actuals!Q56="",P56,IF(Actuals!Q56 &gt; P56,(0.2*(Actuals!Q56-P56)+P56),(0.5*(P56+Actuals!Q56)))),2))</f>
        <v>36</v>
      </c>
      <c r="R56" s="24">
        <f>if(count(Actuals!R$4:R$65) =0, 0,ROUND(IF(Actuals!R56="",Q56,IF(Actuals!R56 &gt; Q56,(0.2*(Actuals!R56-Q56)+Q56),(0.5*(Q56+Actuals!R56)))),2))</f>
        <v>0</v>
      </c>
    </row>
    <row r="57">
      <c r="A57" s="13" t="s">
        <v>224</v>
      </c>
      <c r="B57" s="24">
        <v>36.0</v>
      </c>
      <c r="C57" s="24">
        <f>if(count(Actuals!C$4:C$76) =0, 0,ROUND(IF(Actuals!C57="",B57,IF(Actuals!C57 &gt; B57,(0.2*(Actuals!C57-B57)+B57),(0.5*(B57+Actuals!C57)))),2))</f>
        <v>36</v>
      </c>
      <c r="D57" s="24">
        <f>if(count(Actuals!D$4:D$76) =0, 0,ROUND(IF(Actuals!D57="",C57,IF(Actuals!D57 &gt; C57,(0.2*(Actuals!D57-C57)+C57),(0.5*(C57+Actuals!D57)))),2))</f>
        <v>36</v>
      </c>
      <c r="E57" s="24">
        <f>if(count(Actuals!E$4:E$76) =0, 0,ROUND(IF(Actuals!E57="",D57,IF(Actuals!E57 &gt; D57,(0.2*(Actuals!E57-D57)+D57),(0.5*(D57+Actuals!E57)))),2))</f>
        <v>36</v>
      </c>
      <c r="F57" s="24">
        <f>if(count(Actuals!F$4:F$76) =0, 0,ROUND(IF(Actuals!F57="",E57,IF(Actuals!F57 &gt; E57,(0.2*(Actuals!F57-E57)+E57),(0.5*(E57+Actuals!F57)))),2))</f>
        <v>36</v>
      </c>
      <c r="G57" s="24">
        <f>if(count(Actuals!G$4:G$76) =0, 0,ROUND(IF(Actuals!G57="",F57,IF(Actuals!G57 &gt; F57,(0.2*(Actuals!G57-F57)+F57),(0.5*(F57+Actuals!G57)))),2))</f>
        <v>36</v>
      </c>
      <c r="H57" s="24">
        <f>if(count(Actuals!H$4:H$76) =0, 0,ROUND(IF(Actuals!H57="",G57,IF(Actuals!H57 &gt; G57,(0.2*(Actuals!H57-G57)+G57),(0.5*(G57+Actuals!H57)))),2))</f>
        <v>36</v>
      </c>
      <c r="I57" s="24">
        <f>if(count(Actuals!I$4:I$76) =0, 0,ROUND(IF(Actuals!I57="",H57,IF(Actuals!I57 &gt; H57,(0.2*(Actuals!I57-H57)+H57),(0.5*(H57+Actuals!I57)))),2))</f>
        <v>36</v>
      </c>
      <c r="J57" s="24">
        <f>if(count(Actuals!J$4:J$76) =0, 0,ROUND(IF(Actuals!J57="",I57,IF(Actuals!J57 &gt; I57,(0.2*(Actuals!J57-I57)+I57),(0.5*(I57+Actuals!J57)))),2))</f>
        <v>36</v>
      </c>
      <c r="K57" s="24">
        <f>if(count(Actuals!K$4:K$76) =0, 0,ROUND(IF(Actuals!K57="",J57,IF(Actuals!K57 &gt; J57,(0.2*(Actuals!K57-J57)+J57),(0.5*(J57+Actuals!K57)))),2))</f>
        <v>36</v>
      </c>
      <c r="L57" s="24">
        <f>if(count(Actuals!L$4:L$76) =0, 0,ROUND(IF(Actuals!L57="",K57,IF(Actuals!L57 &gt; K57,(0.2*(Actuals!L57-K57)+K57),(0.5*(K57+Actuals!L57)))),2))</f>
        <v>36</v>
      </c>
      <c r="M57" s="24">
        <f>if(count(Actuals!M$4:M$76) =0, 0,ROUND(IF(Actuals!M57="",L57,IF(Actuals!M57 &gt; L57,(0.2*(Actuals!M57-L57)+L57),(0.5*(L57+Actuals!M57)))),2))</f>
        <v>36</v>
      </c>
      <c r="N57" s="24">
        <f>if(count(Actuals!N$4:N$76) =0, 0,ROUND(IF(Actuals!N57="",M57,IF(Actuals!N57 &gt; M57,(0.2*(Actuals!N57-M57)+M57),(0.5*(M57+Actuals!N57)))),2))</f>
        <v>36</v>
      </c>
      <c r="O57" s="24">
        <f>if(count(Actuals!O$4:O$76) =0, 0,ROUND(IF(Actuals!O57="",N57,IF(Actuals!O57 &gt; N57,(0.2*(Actuals!O57-N57)+N57),(0.5*(N57+Actuals!O57)))),2))</f>
        <v>36</v>
      </c>
      <c r="P57" s="24">
        <f>if(count(Actuals!P$4:P$76) =0, 0,ROUND(IF(Actuals!P57="",O57,IF(Actuals!P57 &gt; O57,(0.2*(Actuals!P57-O57)+O57),(0.5*(O57+Actuals!P57)))),2))</f>
        <v>36</v>
      </c>
      <c r="Q57" s="24">
        <f>if(count(Actuals!Q$4:Q$76) =0, 0,ROUND(IF(Actuals!Q57="",P57,IF(Actuals!Q57 &gt; P57,(0.2*(Actuals!Q57-P57)+P57),(0.5*(P57+Actuals!Q57)))),2))</f>
        <v>36</v>
      </c>
      <c r="R57" s="24">
        <f>if(count(Actuals!R$4:R$65) =0, 0,ROUND(IF(Actuals!R57="",Q57,IF(Actuals!R57 &gt; Q57,(0.2*(Actuals!R57-Q57)+Q57),(0.5*(Q57+Actuals!R57)))),2))</f>
        <v>0</v>
      </c>
    </row>
    <row r="58">
      <c r="A58" s="13" t="s">
        <v>225</v>
      </c>
      <c r="B58" s="24">
        <v>36.0</v>
      </c>
      <c r="C58" s="24">
        <f>if(count(Actuals!C$4:C$76) =0, 0,ROUND(IF(Actuals!C58="",B58,IF(Actuals!C58 &gt; B58,(0.2*(Actuals!C58-B58)+B58),(0.5*(B58+Actuals!C58)))),2))</f>
        <v>36</v>
      </c>
      <c r="D58" s="24">
        <f>if(count(Actuals!D$4:D$76) =0, 0,ROUND(IF(Actuals!D58="",C58,IF(Actuals!D58 &gt; C58,(0.2*(Actuals!D58-C58)+C58),(0.5*(C58+Actuals!D58)))),2))</f>
        <v>36</v>
      </c>
      <c r="E58" s="24">
        <f>if(count(Actuals!E$4:E$76) =0, 0,ROUND(IF(Actuals!E58="",D58,IF(Actuals!E58 &gt; D58,(0.2*(Actuals!E58-D58)+D58),(0.5*(D58+Actuals!E58)))),2))</f>
        <v>36</v>
      </c>
      <c r="F58" s="24">
        <f>if(count(Actuals!F$4:F$76) =0, 0,ROUND(IF(Actuals!F58="",E58,IF(Actuals!F58 &gt; E58,(0.2*(Actuals!F58-E58)+E58),(0.5*(E58+Actuals!F58)))),2))</f>
        <v>36</v>
      </c>
      <c r="G58" s="24">
        <f>if(count(Actuals!G$4:G$76) =0, 0,ROUND(IF(Actuals!G58="",F58,IF(Actuals!G58 &gt; F58,(0.2*(Actuals!G58-F58)+F58),(0.5*(F58+Actuals!G58)))),2))</f>
        <v>36</v>
      </c>
      <c r="H58" s="24">
        <f>if(count(Actuals!H$4:H$76) =0, 0,ROUND(IF(Actuals!H58="",G58,IF(Actuals!H58 &gt; G58,(0.2*(Actuals!H58-G58)+G58),(0.5*(G58+Actuals!H58)))),2))</f>
        <v>36</v>
      </c>
      <c r="I58" s="24">
        <f>if(count(Actuals!I$4:I$76) =0, 0,ROUND(IF(Actuals!I58="",H58,IF(Actuals!I58 &gt; H58,(0.2*(Actuals!I58-H58)+H58),(0.5*(H58+Actuals!I58)))),2))</f>
        <v>36</v>
      </c>
      <c r="J58" s="24">
        <f>if(count(Actuals!J$4:J$76) =0, 0,ROUND(IF(Actuals!J58="",I58,IF(Actuals!J58 &gt; I58,(0.2*(Actuals!J58-I58)+I58),(0.5*(I58+Actuals!J58)))),2))</f>
        <v>36</v>
      </c>
      <c r="K58" s="24">
        <f>if(count(Actuals!K$4:K$76) =0, 0,ROUND(IF(Actuals!K58="",J58,IF(Actuals!K58 &gt; J58,(0.2*(Actuals!K58-J58)+J58),(0.5*(J58+Actuals!K58)))),2))</f>
        <v>36</v>
      </c>
      <c r="L58" s="24">
        <f>if(count(Actuals!L$4:L$76) =0, 0,ROUND(IF(Actuals!L58="",K58,IF(Actuals!L58 &gt; K58,(0.2*(Actuals!L58-K58)+K58),(0.5*(K58+Actuals!L58)))),2))</f>
        <v>36</v>
      </c>
      <c r="M58" s="24">
        <f>if(count(Actuals!M$4:M$76) =0, 0,ROUND(IF(Actuals!M58="",L58,IF(Actuals!M58 &gt; L58,(0.2*(Actuals!M58-L58)+L58),(0.5*(L58+Actuals!M58)))),2))</f>
        <v>36</v>
      </c>
      <c r="N58" s="24">
        <f>if(count(Actuals!N$4:N$76) =0, 0,ROUND(IF(Actuals!N58="",M58,IF(Actuals!N58 &gt; M58,(0.2*(Actuals!N58-M58)+M58),(0.5*(M58+Actuals!N58)))),2))</f>
        <v>36</v>
      </c>
      <c r="O58" s="24">
        <f>if(count(Actuals!O$4:O$76) =0, 0,ROUND(IF(Actuals!O58="",N58,IF(Actuals!O58 &gt; N58,(0.2*(Actuals!O58-N58)+N58),(0.5*(N58+Actuals!O58)))),2))</f>
        <v>36</v>
      </c>
      <c r="P58" s="24">
        <f>if(count(Actuals!P$4:P$76) =0, 0,ROUND(IF(Actuals!P58="",O58,IF(Actuals!P58 &gt; O58,(0.2*(Actuals!P58-O58)+O58),(0.5*(O58+Actuals!P58)))),2))</f>
        <v>36</v>
      </c>
      <c r="Q58" s="24">
        <f>if(count(Actuals!Q$4:Q$76) =0, 0,ROUND(IF(Actuals!Q58="",P58,IF(Actuals!Q58 &gt; P58,(0.2*(Actuals!Q58-P58)+P58),(0.5*(P58+Actuals!Q58)))),2))</f>
        <v>36</v>
      </c>
      <c r="R58" s="24">
        <f>if(count(Actuals!R$4:R$65) =0, 0,ROUND(IF(Actuals!R58="",Q58,IF(Actuals!R58 &gt; Q58,(0.2*(Actuals!R58-Q58)+Q58),(0.5*(Q58+Actuals!R58)))),2))</f>
        <v>0</v>
      </c>
    </row>
    <row r="59">
      <c r="A59" s="13" t="s">
        <v>226</v>
      </c>
      <c r="B59" s="24">
        <v>36.0</v>
      </c>
      <c r="C59" s="24">
        <f>if(count(Actuals!C$4:C$76) =0, 0,ROUND(IF(Actuals!C59="",B59,IF(Actuals!C59 &gt; B59,(0.2*(Actuals!C59-B59)+B59),(0.5*(B59+Actuals!C59)))),2))</f>
        <v>36</v>
      </c>
      <c r="D59" s="24">
        <f>if(count(Actuals!D$4:D$76) =0, 0,ROUND(IF(Actuals!D59="",C59,IF(Actuals!D59 &gt; C59,(0.2*(Actuals!D59-C59)+C59),(0.5*(C59+Actuals!D59)))),2))</f>
        <v>36</v>
      </c>
      <c r="E59" s="24">
        <f>if(count(Actuals!E$4:E$76) =0, 0,ROUND(IF(Actuals!E59="",D59,IF(Actuals!E59 &gt; D59,(0.2*(Actuals!E59-D59)+D59),(0.5*(D59+Actuals!E59)))),2))</f>
        <v>36</v>
      </c>
      <c r="F59" s="24">
        <f>if(count(Actuals!F$4:F$76) =0, 0,ROUND(IF(Actuals!F59="",E59,IF(Actuals!F59 &gt; E59,(0.2*(Actuals!F59-E59)+E59),(0.5*(E59+Actuals!F59)))),2))</f>
        <v>36</v>
      </c>
      <c r="G59" s="24">
        <f>if(count(Actuals!G$4:G$76) =0, 0,ROUND(IF(Actuals!G59="",F59,IF(Actuals!G59 &gt; F59,(0.2*(Actuals!G59-F59)+F59),(0.5*(F59+Actuals!G59)))),2))</f>
        <v>36</v>
      </c>
      <c r="H59" s="24">
        <f>if(count(Actuals!H$4:H$76) =0, 0,ROUND(IF(Actuals!H59="",G59,IF(Actuals!H59 &gt; G59,(0.2*(Actuals!H59-G59)+G59),(0.5*(G59+Actuals!H59)))),2))</f>
        <v>36</v>
      </c>
      <c r="I59" s="24">
        <f>if(count(Actuals!I$4:I$76) =0, 0,ROUND(IF(Actuals!I59="",H59,IF(Actuals!I59 &gt; H59,(0.2*(Actuals!I59-H59)+H59),(0.5*(H59+Actuals!I59)))),2))</f>
        <v>36</v>
      </c>
      <c r="J59" s="24">
        <f>if(count(Actuals!J$4:J$76) =0, 0,ROUND(IF(Actuals!J59="",I59,IF(Actuals!J59 &gt; I59,(0.2*(Actuals!J59-I59)+I59),(0.5*(I59+Actuals!J59)))),2))</f>
        <v>36</v>
      </c>
      <c r="K59" s="24">
        <f>if(count(Actuals!K$4:K$76) =0, 0,ROUND(IF(Actuals!K59="",J59,IF(Actuals!K59 &gt; J59,(0.2*(Actuals!K59-J59)+J59),(0.5*(J59+Actuals!K59)))),2))</f>
        <v>36</v>
      </c>
      <c r="L59" s="24">
        <f>if(count(Actuals!L$4:L$76) =0, 0,ROUND(IF(Actuals!L59="",K59,IF(Actuals!L59 &gt; K59,(0.2*(Actuals!L59-K59)+K59),(0.5*(K59+Actuals!L59)))),2))</f>
        <v>36</v>
      </c>
      <c r="M59" s="24">
        <f>if(count(Actuals!M$4:M$76) =0, 0,ROUND(IF(Actuals!M59="",L59,IF(Actuals!M59 &gt; L59,(0.2*(Actuals!M59-L59)+L59),(0.5*(L59+Actuals!M59)))),2))</f>
        <v>36</v>
      </c>
      <c r="N59" s="24">
        <f>if(count(Actuals!N$4:N$76) =0, 0,ROUND(IF(Actuals!N59="",M59,IF(Actuals!N59 &gt; M59,(0.2*(Actuals!N59-M59)+M59),(0.5*(M59+Actuals!N59)))),2))</f>
        <v>36</v>
      </c>
      <c r="O59" s="24">
        <f>if(count(Actuals!O$4:O$76) =0, 0,ROUND(IF(Actuals!O59="",N59,IF(Actuals!O59 &gt; N59,(0.2*(Actuals!O59-N59)+N59),(0.5*(N59+Actuals!O59)))),2))</f>
        <v>36</v>
      </c>
      <c r="P59" s="24">
        <f>if(count(Actuals!P$4:P$76) =0, 0,ROUND(IF(Actuals!P59="",O59,IF(Actuals!P59 &gt; O59,(0.2*(Actuals!P59-O59)+O59),(0.5*(O59+Actuals!P59)))),2))</f>
        <v>36</v>
      </c>
      <c r="Q59" s="24">
        <f>if(count(Actuals!Q$4:Q$76) =0, 0,ROUND(IF(Actuals!Q59="",P59,IF(Actuals!Q59 &gt; P59,(0.2*(Actuals!Q59-P59)+P59),(0.5*(P59+Actuals!Q59)))),2))</f>
        <v>36</v>
      </c>
      <c r="R59" s="24">
        <f>if(count(Actuals!R$4:R$65) =0, 0,ROUND(IF(Actuals!R59="",Q59,IF(Actuals!R59 &gt; Q59,(0.2*(Actuals!R59-Q59)+Q59),(0.5*(Q59+Actuals!R59)))),2))</f>
        <v>0</v>
      </c>
    </row>
    <row r="60">
      <c r="A60" s="13" t="s">
        <v>227</v>
      </c>
      <c r="B60" s="24">
        <v>36.0</v>
      </c>
      <c r="C60" s="24">
        <f>if(count(Actuals!C$4:C$76) =0, 0,ROUND(IF(Actuals!C60="",B60,IF(Actuals!C60 &gt; B60,(0.2*(Actuals!C60-B60)+B60),(0.5*(B60+Actuals!C60)))),2))</f>
        <v>36</v>
      </c>
      <c r="D60" s="24">
        <f>if(count(Actuals!D$4:D$76) =0, 0,ROUND(IF(Actuals!D60="",C60,IF(Actuals!D60 &gt; C60,(0.2*(Actuals!D60-C60)+C60),(0.5*(C60+Actuals!D60)))),2))</f>
        <v>36</v>
      </c>
      <c r="E60" s="24">
        <f>if(count(Actuals!E$4:E$76) =0, 0,ROUND(IF(Actuals!E60="",D60,IF(Actuals!E60 &gt; D60,(0.2*(Actuals!E60-D60)+D60),(0.5*(D60+Actuals!E60)))),2))</f>
        <v>36</v>
      </c>
      <c r="F60" s="24">
        <f>if(count(Actuals!F$4:F$76) =0, 0,ROUND(IF(Actuals!F60="",E60,IF(Actuals!F60 &gt; E60,(0.2*(Actuals!F60-E60)+E60),(0.5*(E60+Actuals!F60)))),2))</f>
        <v>36</v>
      </c>
      <c r="G60" s="24">
        <f>if(count(Actuals!G$4:G$76) =0, 0,ROUND(IF(Actuals!G60="",F60,IF(Actuals!G60 &gt; F60,(0.2*(Actuals!G60-F60)+F60),(0.5*(F60+Actuals!G60)))),2))</f>
        <v>36</v>
      </c>
      <c r="H60" s="24">
        <f>if(count(Actuals!H$4:H$76) =0, 0,ROUND(IF(Actuals!H60="",G60,IF(Actuals!H60 &gt; G60,(0.2*(Actuals!H60-G60)+G60),(0.5*(G60+Actuals!H60)))),2))</f>
        <v>36</v>
      </c>
      <c r="I60" s="24">
        <f>if(count(Actuals!I$4:I$76) =0, 0,ROUND(IF(Actuals!I60="",H60,IF(Actuals!I60 &gt; H60,(0.2*(Actuals!I60-H60)+H60),(0.5*(H60+Actuals!I60)))),2))</f>
        <v>36</v>
      </c>
      <c r="J60" s="24">
        <f>if(count(Actuals!J$4:J$76) =0, 0,ROUND(IF(Actuals!J60="",I60,IF(Actuals!J60 &gt; I60,(0.2*(Actuals!J60-I60)+I60),(0.5*(I60+Actuals!J60)))),2))</f>
        <v>36</v>
      </c>
      <c r="K60" s="24">
        <f>if(count(Actuals!K$4:K$76) =0, 0,ROUND(IF(Actuals!K60="",J60,IF(Actuals!K60 &gt; J60,(0.2*(Actuals!K60-J60)+J60),(0.5*(J60+Actuals!K60)))),2))</f>
        <v>36</v>
      </c>
      <c r="L60" s="24">
        <f>if(count(Actuals!L$4:L$76) =0, 0,ROUND(IF(Actuals!L60="",K60,IF(Actuals!L60 &gt; K60,(0.2*(Actuals!L60-K60)+K60),(0.5*(K60+Actuals!L60)))),2))</f>
        <v>36</v>
      </c>
      <c r="M60" s="24">
        <f>if(count(Actuals!M$4:M$76) =0, 0,ROUND(IF(Actuals!M60="",L60,IF(Actuals!M60 &gt; L60,(0.2*(Actuals!M60-L60)+L60),(0.5*(L60+Actuals!M60)))),2))</f>
        <v>36</v>
      </c>
      <c r="N60" s="24">
        <f>if(count(Actuals!N$4:N$76) =0, 0,ROUND(IF(Actuals!N60="",M60,IF(Actuals!N60 &gt; M60,(0.2*(Actuals!N60-M60)+M60),(0.5*(M60+Actuals!N60)))),2))</f>
        <v>36</v>
      </c>
      <c r="O60" s="24">
        <f>if(count(Actuals!O$4:O$76) =0, 0,ROUND(IF(Actuals!O60="",N60,IF(Actuals!O60 &gt; N60,(0.2*(Actuals!O60-N60)+N60),(0.5*(N60+Actuals!O60)))),2))</f>
        <v>36</v>
      </c>
      <c r="P60" s="24">
        <f>if(count(Actuals!P$4:P$76) =0, 0,ROUND(IF(Actuals!P60="",O60,IF(Actuals!P60 &gt; O60,(0.2*(Actuals!P60-O60)+O60),(0.5*(O60+Actuals!P60)))),2))</f>
        <v>36</v>
      </c>
      <c r="Q60" s="24">
        <f>if(count(Actuals!Q$4:Q$76) =0, 0,ROUND(IF(Actuals!Q60="",P60,IF(Actuals!Q60 &gt; P60,(0.2*(Actuals!Q60-P60)+P60),(0.5*(P60+Actuals!Q60)))),2))</f>
        <v>36</v>
      </c>
      <c r="R60" s="24">
        <f>if(count(Actuals!R$4:R$65) =0, 0,ROUND(IF(Actuals!R60="",Q60,IF(Actuals!R60 &gt; Q60,(0.2*(Actuals!R60-Q60)+Q60),(0.5*(Q60+Actuals!R60)))),2))</f>
        <v>0</v>
      </c>
    </row>
    <row r="61">
      <c r="A61" s="13" t="s">
        <v>228</v>
      </c>
      <c r="B61" s="24">
        <v>36.0</v>
      </c>
      <c r="C61" s="24">
        <f>if(count(Actuals!C$4:C$76) =0, 0,ROUND(IF(Actuals!C61="",B61,IF(Actuals!C61 &gt; B61,(0.2*(Actuals!C61-B61)+B61),(0.5*(B61+Actuals!C61)))),2))</f>
        <v>36</v>
      </c>
      <c r="D61" s="24">
        <f>if(count(Actuals!D$4:D$76) =0, 0,ROUND(IF(Actuals!D61="",C61,IF(Actuals!D61 &gt; C61,(0.2*(Actuals!D61-C61)+C61),(0.5*(C61+Actuals!D61)))),2))</f>
        <v>36</v>
      </c>
      <c r="E61" s="24">
        <f>if(count(Actuals!E$4:E$76) =0, 0,ROUND(IF(Actuals!E61="",D61,IF(Actuals!E61 &gt; D61,(0.2*(Actuals!E61-D61)+D61),(0.5*(D61+Actuals!E61)))),2))</f>
        <v>36</v>
      </c>
      <c r="F61" s="24">
        <f>if(count(Actuals!F$4:F$76) =0, 0,ROUND(IF(Actuals!F61="",E61,IF(Actuals!F61 &gt; E61,(0.2*(Actuals!F61-E61)+E61),(0.5*(E61+Actuals!F61)))),2))</f>
        <v>36</v>
      </c>
      <c r="G61" s="24">
        <f>if(count(Actuals!G$4:G$76) =0, 0,ROUND(IF(Actuals!G61="",F61,IF(Actuals!G61 &gt; F61,(0.2*(Actuals!G61-F61)+F61),(0.5*(F61+Actuals!G61)))),2))</f>
        <v>36</v>
      </c>
      <c r="H61" s="24">
        <f>if(count(Actuals!H$4:H$76) =0, 0,ROUND(IF(Actuals!H61="",G61,IF(Actuals!H61 &gt; G61,(0.2*(Actuals!H61-G61)+G61),(0.5*(G61+Actuals!H61)))),2))</f>
        <v>36</v>
      </c>
      <c r="I61" s="24">
        <f>if(count(Actuals!I$4:I$76) =0, 0,ROUND(IF(Actuals!I61="",H61,IF(Actuals!I61 &gt; H61,(0.2*(Actuals!I61-H61)+H61),(0.5*(H61+Actuals!I61)))),2))</f>
        <v>36</v>
      </c>
      <c r="J61" s="24">
        <f>if(count(Actuals!J$4:J$76) =0, 0,ROUND(IF(Actuals!J61="",I61,IF(Actuals!J61 &gt; I61,(0.2*(Actuals!J61-I61)+I61),(0.5*(I61+Actuals!J61)))),2))</f>
        <v>36</v>
      </c>
      <c r="K61" s="24">
        <f>if(count(Actuals!K$4:K$76) =0, 0,ROUND(IF(Actuals!K61="",J61,IF(Actuals!K61 &gt; J61,(0.2*(Actuals!K61-J61)+J61),(0.5*(J61+Actuals!K61)))),2))</f>
        <v>36</v>
      </c>
      <c r="L61" s="24">
        <f>if(count(Actuals!L$4:L$76) =0, 0,ROUND(IF(Actuals!L61="",K61,IF(Actuals!L61 &gt; K61,(0.2*(Actuals!L61-K61)+K61),(0.5*(K61+Actuals!L61)))),2))</f>
        <v>36</v>
      </c>
      <c r="M61" s="24">
        <f>if(count(Actuals!M$4:M$76) =0, 0,ROUND(IF(Actuals!M61="",L61,IF(Actuals!M61 &gt; L61,(0.2*(Actuals!M61-L61)+L61),(0.5*(L61+Actuals!M61)))),2))</f>
        <v>36</v>
      </c>
      <c r="N61" s="24">
        <f>if(count(Actuals!N$4:N$76) =0, 0,ROUND(IF(Actuals!N61="",M61,IF(Actuals!N61 &gt; M61,(0.2*(Actuals!N61-M61)+M61),(0.5*(M61+Actuals!N61)))),2))</f>
        <v>36</v>
      </c>
      <c r="O61" s="24">
        <f>if(count(Actuals!O$4:O$76) =0, 0,ROUND(IF(Actuals!O61="",N61,IF(Actuals!O61 &gt; N61,(0.2*(Actuals!O61-N61)+N61),(0.5*(N61+Actuals!O61)))),2))</f>
        <v>36</v>
      </c>
      <c r="P61" s="24">
        <f>if(count(Actuals!P$4:P$76) =0, 0,ROUND(IF(Actuals!P61="",O61,IF(Actuals!P61 &gt; O61,(0.2*(Actuals!P61-O61)+O61),(0.5*(O61+Actuals!P61)))),2))</f>
        <v>36</v>
      </c>
      <c r="Q61" s="24">
        <f>if(count(Actuals!Q$4:Q$76) =0, 0,ROUND(IF(Actuals!Q61="",P61,IF(Actuals!Q61 &gt; P61,(0.2*(Actuals!Q61-P61)+P61),(0.5*(P61+Actuals!Q61)))),2))</f>
        <v>36</v>
      </c>
      <c r="R61" s="24">
        <f>if(count(Actuals!R$4:R$65) =0, 0,ROUND(IF(Actuals!R61="",Q61,IF(Actuals!R61 &gt; Q61,(0.2*(Actuals!R61-Q61)+Q61),(0.5*(Q61+Actuals!R61)))),2))</f>
        <v>0</v>
      </c>
    </row>
    <row r="62">
      <c r="A62" s="13" t="s">
        <v>229</v>
      </c>
      <c r="B62" s="24">
        <v>36.0</v>
      </c>
      <c r="C62" s="24">
        <f>if(count(Actuals!C$4:C$76) =0, 0,ROUND(IF(Actuals!C62="",B62,IF(Actuals!C62 &gt; B62,(0.2*(Actuals!C62-B62)+B62),(0.5*(B62+Actuals!C62)))),2))</f>
        <v>36</v>
      </c>
      <c r="D62" s="24">
        <f>if(count(Actuals!D$4:D$76) =0, 0,ROUND(IF(Actuals!D62="",C62,IF(Actuals!D62 &gt; C62,(0.2*(Actuals!D62-C62)+C62),(0.5*(C62+Actuals!D62)))),2))</f>
        <v>36</v>
      </c>
      <c r="E62" s="24">
        <f>if(count(Actuals!E$4:E$76) =0, 0,ROUND(IF(Actuals!E62="",D62,IF(Actuals!E62 &gt; D62,(0.2*(Actuals!E62-D62)+D62),(0.5*(D62+Actuals!E62)))),2))</f>
        <v>36</v>
      </c>
      <c r="F62" s="24">
        <f>if(count(Actuals!F$4:F$76) =0, 0,ROUND(IF(Actuals!F62="",E62,IF(Actuals!F62 &gt; E62,(0.2*(Actuals!F62-E62)+E62),(0.5*(E62+Actuals!F62)))),2))</f>
        <v>36</v>
      </c>
      <c r="G62" s="24">
        <f>if(count(Actuals!G$4:G$76) =0, 0,ROUND(IF(Actuals!G62="",F62,IF(Actuals!G62 &gt; F62,(0.2*(Actuals!G62-F62)+F62),(0.5*(F62+Actuals!G62)))),2))</f>
        <v>36</v>
      </c>
      <c r="H62" s="24">
        <f>if(count(Actuals!H$4:H$76) =0, 0,ROUND(IF(Actuals!H62="",G62,IF(Actuals!H62 &gt; G62,(0.2*(Actuals!H62-G62)+G62),(0.5*(G62+Actuals!H62)))),2))</f>
        <v>36</v>
      </c>
      <c r="I62" s="24">
        <f>if(count(Actuals!I$4:I$76) =0, 0,ROUND(IF(Actuals!I62="",H62,IF(Actuals!I62 &gt; H62,(0.2*(Actuals!I62-H62)+H62),(0.5*(H62+Actuals!I62)))),2))</f>
        <v>36</v>
      </c>
      <c r="J62" s="24">
        <f>if(count(Actuals!J$4:J$76) =0, 0,ROUND(IF(Actuals!J62="",I62,IF(Actuals!J62 &gt; I62,(0.2*(Actuals!J62-I62)+I62),(0.5*(I62+Actuals!J62)))),2))</f>
        <v>36</v>
      </c>
      <c r="K62" s="24">
        <f>if(count(Actuals!K$4:K$76) =0, 0,ROUND(IF(Actuals!K62="",J62,IF(Actuals!K62 &gt; J62,(0.2*(Actuals!K62-J62)+J62),(0.5*(J62+Actuals!K62)))),2))</f>
        <v>36</v>
      </c>
      <c r="L62" s="24">
        <f>if(count(Actuals!L$4:L$76) =0, 0,ROUND(IF(Actuals!L62="",K62,IF(Actuals!L62 &gt; K62,(0.2*(Actuals!L62-K62)+K62),(0.5*(K62+Actuals!L62)))),2))</f>
        <v>36</v>
      </c>
      <c r="M62" s="24">
        <f>if(count(Actuals!M$4:M$76) =0, 0,ROUND(IF(Actuals!M62="",L62,IF(Actuals!M62 &gt; L62,(0.2*(Actuals!M62-L62)+L62),(0.5*(L62+Actuals!M62)))),2))</f>
        <v>36</v>
      </c>
      <c r="N62" s="24">
        <f>if(count(Actuals!N$4:N$76) =0, 0,ROUND(IF(Actuals!N62="",M62,IF(Actuals!N62 &gt; M62,(0.2*(Actuals!N62-M62)+M62),(0.5*(M62+Actuals!N62)))),2))</f>
        <v>36</v>
      </c>
      <c r="O62" s="24">
        <f>if(count(Actuals!O$4:O$76) =0, 0,ROUND(IF(Actuals!O62="",N62,IF(Actuals!O62 &gt; N62,(0.2*(Actuals!O62-N62)+N62),(0.5*(N62+Actuals!O62)))),2))</f>
        <v>36</v>
      </c>
      <c r="P62" s="24">
        <f>if(count(Actuals!P$4:P$76) =0, 0,ROUND(IF(Actuals!P62="",O62,IF(Actuals!P62 &gt; O62,(0.2*(Actuals!P62-O62)+O62),(0.5*(O62+Actuals!P62)))),2))</f>
        <v>36</v>
      </c>
      <c r="Q62" s="24">
        <f>if(count(Actuals!Q$4:Q$76) =0, 0,ROUND(IF(Actuals!Q62="",P62,IF(Actuals!Q62 &gt; P62,(0.2*(Actuals!Q62-P62)+P62),(0.5*(P62+Actuals!Q62)))),2))</f>
        <v>36</v>
      </c>
      <c r="R62" s="24">
        <f>if(count(Actuals!R$4:R$65) =0, 0,ROUND(IF(Actuals!R62="",Q62,IF(Actuals!R62 &gt; Q62,(0.2*(Actuals!R62-Q62)+Q62),(0.5*(Q62+Actuals!R62)))),2))</f>
        <v>0</v>
      </c>
    </row>
    <row r="63">
      <c r="A63" s="13" t="s">
        <v>230</v>
      </c>
      <c r="B63" s="24">
        <v>36.0</v>
      </c>
      <c r="C63" s="24">
        <f>if(count(Actuals!C$4:C$76) =0, 0,ROUND(IF(Actuals!C63="",B63,IF(Actuals!C63 &gt; B63,(0.2*(Actuals!C63-B63)+B63),(0.5*(B63+Actuals!C63)))),2))</f>
        <v>36</v>
      </c>
      <c r="D63" s="24">
        <f>if(count(Actuals!D$4:D$76) =0, 0,ROUND(IF(Actuals!D63="",C63,IF(Actuals!D63 &gt; C63,(0.2*(Actuals!D63-C63)+C63),(0.5*(C63+Actuals!D63)))),2))</f>
        <v>36</v>
      </c>
      <c r="E63" s="24">
        <f>if(count(Actuals!E$4:E$76) =0, 0,ROUND(IF(Actuals!E63="",D63,IF(Actuals!E63 &gt; D63,(0.2*(Actuals!E63-D63)+D63),(0.5*(D63+Actuals!E63)))),2))</f>
        <v>36</v>
      </c>
      <c r="F63" s="24">
        <f>if(count(Actuals!F$4:F$76) =0, 0,ROUND(IF(Actuals!F63="",E63,IF(Actuals!F63 &gt; E63,(0.2*(Actuals!F63-E63)+E63),(0.5*(E63+Actuals!F63)))),2))</f>
        <v>36</v>
      </c>
      <c r="G63" s="24">
        <f>if(count(Actuals!G$4:G$76) =0, 0,ROUND(IF(Actuals!G63="",F63,IF(Actuals!G63 &gt; F63,(0.2*(Actuals!G63-F63)+F63),(0.5*(F63+Actuals!G63)))),2))</f>
        <v>36</v>
      </c>
      <c r="H63" s="24">
        <f>if(count(Actuals!H$4:H$76) =0, 0,ROUND(IF(Actuals!H63="",G63,IF(Actuals!H63 &gt; G63,(0.2*(Actuals!H63-G63)+G63),(0.5*(G63+Actuals!H63)))),2))</f>
        <v>36</v>
      </c>
      <c r="I63" s="24">
        <f>if(count(Actuals!I$4:I$76) =0, 0,ROUND(IF(Actuals!I63="",H63,IF(Actuals!I63 &gt; H63,(0.2*(Actuals!I63-H63)+H63),(0.5*(H63+Actuals!I63)))),2))</f>
        <v>36</v>
      </c>
      <c r="J63" s="24">
        <f>if(count(Actuals!J$4:J$76) =0, 0,ROUND(IF(Actuals!J63="",I63,IF(Actuals!J63 &gt; I63,(0.2*(Actuals!J63-I63)+I63),(0.5*(I63+Actuals!J63)))),2))</f>
        <v>36</v>
      </c>
      <c r="K63" s="24">
        <f>if(count(Actuals!K$4:K$76) =0, 0,ROUND(IF(Actuals!K63="",J63,IF(Actuals!K63 &gt; J63,(0.2*(Actuals!K63-J63)+J63),(0.5*(J63+Actuals!K63)))),2))</f>
        <v>36</v>
      </c>
      <c r="L63" s="24">
        <f>if(count(Actuals!L$4:L$76) =0, 0,ROUND(IF(Actuals!L63="",K63,IF(Actuals!L63 &gt; K63,(0.2*(Actuals!L63-K63)+K63),(0.5*(K63+Actuals!L63)))),2))</f>
        <v>36</v>
      </c>
      <c r="M63" s="24">
        <f>if(count(Actuals!M$4:M$76) =0, 0,ROUND(IF(Actuals!M63="",L63,IF(Actuals!M63 &gt; L63,(0.2*(Actuals!M63-L63)+L63),(0.5*(L63+Actuals!M63)))),2))</f>
        <v>36</v>
      </c>
      <c r="N63" s="24">
        <f>if(count(Actuals!N$4:N$76) =0, 0,ROUND(IF(Actuals!N63="",M63,IF(Actuals!N63 &gt; M63,(0.2*(Actuals!N63-M63)+M63),(0.5*(M63+Actuals!N63)))),2))</f>
        <v>36</v>
      </c>
      <c r="O63" s="24">
        <f>if(count(Actuals!O$4:O$76) =0, 0,ROUND(IF(Actuals!O63="",N63,IF(Actuals!O63 &gt; N63,(0.2*(Actuals!O63-N63)+N63),(0.5*(N63+Actuals!O63)))),2))</f>
        <v>36</v>
      </c>
      <c r="P63" s="24">
        <f>if(count(Actuals!P$4:P$76) =0, 0,ROUND(IF(Actuals!P63="",O63,IF(Actuals!P63 &gt; O63,(0.2*(Actuals!P63-O63)+O63),(0.5*(O63+Actuals!P63)))),2))</f>
        <v>36</v>
      </c>
      <c r="Q63" s="24">
        <f>if(count(Actuals!Q$4:Q$76) =0, 0,ROUND(IF(Actuals!Q63="",P63,IF(Actuals!Q63 &gt; P63,(0.2*(Actuals!Q63-P63)+P63),(0.5*(P63+Actuals!Q63)))),2))</f>
        <v>36</v>
      </c>
      <c r="R63" s="24">
        <f>if(count(Actuals!R$4:R$65) =0, 0,ROUND(IF(Actuals!R63="",Q63,IF(Actuals!R63 &gt; Q63,(0.2*(Actuals!R63-Q63)+Q63),(0.5*(Q63+Actuals!R63)))),2))</f>
        <v>0</v>
      </c>
    </row>
    <row r="64">
      <c r="A64" s="13" t="s">
        <v>231</v>
      </c>
      <c r="B64" s="24">
        <v>36.0</v>
      </c>
      <c r="C64" s="24">
        <f>if(count(Actuals!C$4:C$76) =0, 0,ROUND(IF(Actuals!C64="",B64,IF(Actuals!C64 &gt; B64,(0.2*(Actuals!C64-B64)+B64),(0.5*(B64+Actuals!C64)))),2))</f>
        <v>36</v>
      </c>
      <c r="D64" s="24">
        <f>if(count(Actuals!D$4:D$76) =0, 0,ROUND(IF(Actuals!D64="",C64,IF(Actuals!D64 &gt; C64,(0.2*(Actuals!D64-C64)+C64),(0.5*(C64+Actuals!D64)))),2))</f>
        <v>36</v>
      </c>
      <c r="E64" s="24">
        <f>if(count(Actuals!E$4:E$76) =0, 0,ROUND(IF(Actuals!E64="",D64,IF(Actuals!E64 &gt; D64,(0.2*(Actuals!E64-D64)+D64),(0.5*(D64+Actuals!E64)))),2))</f>
        <v>36</v>
      </c>
      <c r="F64" s="24">
        <f>if(count(Actuals!F$4:F$76) =0, 0,ROUND(IF(Actuals!F64="",E64,IF(Actuals!F64 &gt; E64,(0.2*(Actuals!F64-E64)+E64),(0.5*(E64+Actuals!F64)))),2))</f>
        <v>36</v>
      </c>
      <c r="G64" s="24">
        <f>if(count(Actuals!G$4:G$76) =0, 0,ROUND(IF(Actuals!G64="",F64,IF(Actuals!G64 &gt; F64,(0.2*(Actuals!G64-F64)+F64),(0.5*(F64+Actuals!G64)))),2))</f>
        <v>36</v>
      </c>
      <c r="H64" s="24">
        <f>if(count(Actuals!H$4:H$76) =0, 0,ROUND(IF(Actuals!H64="",G64,IF(Actuals!H64 &gt; G64,(0.2*(Actuals!H64-G64)+G64),(0.5*(G64+Actuals!H64)))),2))</f>
        <v>36</v>
      </c>
      <c r="I64" s="24">
        <f>if(count(Actuals!I$4:I$76) =0, 0,ROUND(IF(Actuals!I64="",H64,IF(Actuals!I64 &gt; H64,(0.2*(Actuals!I64-H64)+H64),(0.5*(H64+Actuals!I64)))),2))</f>
        <v>36</v>
      </c>
      <c r="J64" s="24">
        <f>if(count(Actuals!J$4:J$76) =0, 0,ROUND(IF(Actuals!J64="",I64,IF(Actuals!J64 &gt; I64,(0.2*(Actuals!J64-I64)+I64),(0.5*(I64+Actuals!J64)))),2))</f>
        <v>36</v>
      </c>
      <c r="K64" s="24">
        <f>if(count(Actuals!K$4:K$76) =0, 0,ROUND(IF(Actuals!K64="",J64,IF(Actuals!K64 &gt; J64,(0.2*(Actuals!K64-J64)+J64),(0.5*(J64+Actuals!K64)))),2))</f>
        <v>36</v>
      </c>
      <c r="L64" s="24">
        <f>if(count(Actuals!L$4:L$76) =0, 0,ROUND(IF(Actuals!L64="",K64,IF(Actuals!L64 &gt; K64,(0.2*(Actuals!L64-K64)+K64),(0.5*(K64+Actuals!L64)))),2))</f>
        <v>36</v>
      </c>
      <c r="M64" s="24">
        <f>if(count(Actuals!M$4:M$76) =0, 0,ROUND(IF(Actuals!M64="",L64,IF(Actuals!M64 &gt; L64,(0.2*(Actuals!M64-L64)+L64),(0.5*(L64+Actuals!M64)))),2))</f>
        <v>36</v>
      </c>
      <c r="N64" s="24">
        <f>if(count(Actuals!N$4:N$76) =0, 0,ROUND(IF(Actuals!N64="",M64,IF(Actuals!N64 &gt; M64,(0.2*(Actuals!N64-M64)+M64),(0.5*(M64+Actuals!N64)))),2))</f>
        <v>36</v>
      </c>
      <c r="O64" s="24">
        <f>if(count(Actuals!O$4:O$76) =0, 0,ROUND(IF(Actuals!O64="",N64,IF(Actuals!O64 &gt; N64,(0.2*(Actuals!O64-N64)+N64),(0.5*(N64+Actuals!O64)))),2))</f>
        <v>36</v>
      </c>
      <c r="P64" s="24">
        <f>if(count(Actuals!P$4:P$76) =0, 0,ROUND(IF(Actuals!P64="",O64,IF(Actuals!P64 &gt; O64,(0.2*(Actuals!P64-O64)+O64),(0.5*(O64+Actuals!P64)))),2))</f>
        <v>36</v>
      </c>
      <c r="Q64" s="24">
        <f>if(count(Actuals!Q$4:Q$76) =0, 0,ROUND(IF(Actuals!Q64="",P64,IF(Actuals!Q64 &gt; P64,(0.2*(Actuals!Q64-P64)+P64),(0.5*(P64+Actuals!Q64)))),2))</f>
        <v>36</v>
      </c>
      <c r="R64" s="24">
        <f>if(count(Actuals!R$4:R$65) =0, 0,ROUND(IF(Actuals!R64="",Q64,IF(Actuals!R64 &gt; Q64,(0.2*(Actuals!R64-Q64)+Q64),(0.5*(Q64+Actuals!R64)))),2))</f>
        <v>0</v>
      </c>
    </row>
    <row r="65">
      <c r="A65" s="13" t="s">
        <v>232</v>
      </c>
      <c r="B65" s="24">
        <v>36.0</v>
      </c>
      <c r="C65" s="24">
        <f>if(count(Actuals!C$4:C$76) =0, 0,ROUND(IF(Actuals!C65="",B65,IF(Actuals!C65 &gt; B65,(0.2*(Actuals!C65-B65)+B65),(0.5*(B65+Actuals!C65)))),2))</f>
        <v>36</v>
      </c>
      <c r="D65" s="24">
        <f>if(count(Actuals!D$4:D$76) =0, 0,ROUND(IF(Actuals!D65="",C65,IF(Actuals!D65 &gt; C65,(0.2*(Actuals!D65-C65)+C65),(0.5*(C65+Actuals!D65)))),2))</f>
        <v>36</v>
      </c>
      <c r="E65" s="24">
        <f>if(count(Actuals!E$4:E$76) =0, 0,ROUND(IF(Actuals!E65="",D65,IF(Actuals!E65 &gt; D65,(0.2*(Actuals!E65-D65)+D65),(0.5*(D65+Actuals!E65)))),2))</f>
        <v>36</v>
      </c>
      <c r="F65" s="24">
        <f>if(count(Actuals!F$4:F$76) =0, 0,ROUND(IF(Actuals!F65="",E65,IF(Actuals!F65 &gt; E65,(0.2*(Actuals!F65-E65)+E65),(0.5*(E65+Actuals!F65)))),2))</f>
        <v>36</v>
      </c>
      <c r="G65" s="24">
        <f>if(count(Actuals!G$4:G$76) =0, 0,ROUND(IF(Actuals!G65="",F65,IF(Actuals!G65 &gt; F65,(0.2*(Actuals!G65-F65)+F65),(0.5*(F65+Actuals!G65)))),2))</f>
        <v>36</v>
      </c>
      <c r="H65" s="24">
        <f>if(count(Actuals!H$4:H$76) =0, 0,ROUND(IF(Actuals!H65="",G65,IF(Actuals!H65 &gt; G65,(0.2*(Actuals!H65-G65)+G65),(0.5*(G65+Actuals!H65)))),2))</f>
        <v>36</v>
      </c>
      <c r="I65" s="24">
        <f>if(count(Actuals!I$4:I$76) =0, 0,ROUND(IF(Actuals!I65="",H65,IF(Actuals!I65 &gt; H65,(0.2*(Actuals!I65-H65)+H65),(0.5*(H65+Actuals!I65)))),2))</f>
        <v>36</v>
      </c>
      <c r="J65" s="24">
        <f>if(count(Actuals!J$4:J$76) =0, 0,ROUND(IF(Actuals!J65="",I65,IF(Actuals!J65 &gt; I65,(0.2*(Actuals!J65-I65)+I65),(0.5*(I65+Actuals!J65)))),2))</f>
        <v>36</v>
      </c>
      <c r="K65" s="24">
        <f>if(count(Actuals!K$4:K$76) =0, 0,ROUND(IF(Actuals!K65="",J65,IF(Actuals!K65 &gt; J65,(0.2*(Actuals!K65-J65)+J65),(0.5*(J65+Actuals!K65)))),2))</f>
        <v>36</v>
      </c>
      <c r="L65" s="24">
        <f>if(count(Actuals!L$4:L$76) =0, 0,ROUND(IF(Actuals!L65="",K65,IF(Actuals!L65 &gt; K65,(0.2*(Actuals!L65-K65)+K65),(0.5*(K65+Actuals!L65)))),2))</f>
        <v>36</v>
      </c>
      <c r="M65" s="24">
        <f>if(count(Actuals!M$4:M$76) =0, 0,ROUND(IF(Actuals!M65="",L65,IF(Actuals!M65 &gt; L65,(0.2*(Actuals!M65-L65)+L65),(0.5*(L65+Actuals!M65)))),2))</f>
        <v>36</v>
      </c>
      <c r="N65" s="24">
        <f>if(count(Actuals!N$4:N$76) =0, 0,ROUND(IF(Actuals!N65="",M65,IF(Actuals!N65 &gt; M65,(0.2*(Actuals!N65-M65)+M65),(0.5*(M65+Actuals!N65)))),2))</f>
        <v>36</v>
      </c>
      <c r="O65" s="24">
        <f>if(count(Actuals!O$4:O$76) =0, 0,ROUND(IF(Actuals!O65="",N65,IF(Actuals!O65 &gt; N65,(0.2*(Actuals!O65-N65)+N65),(0.5*(N65+Actuals!O65)))),2))</f>
        <v>36</v>
      </c>
      <c r="P65" s="24">
        <f>if(count(Actuals!P$4:P$76) =0, 0,ROUND(IF(Actuals!P65="",O65,IF(Actuals!P65 &gt; O65,(0.2*(Actuals!P65-O65)+O65),(0.5*(O65+Actuals!P65)))),2))</f>
        <v>36</v>
      </c>
      <c r="Q65" s="24">
        <f>if(count(Actuals!Q$4:Q$76) =0, 0,ROUND(IF(Actuals!Q65="",P65,IF(Actuals!Q65 &gt; P65,(0.2*(Actuals!Q65-P65)+P65),(0.5*(P65+Actuals!Q65)))),2))</f>
        <v>36</v>
      </c>
      <c r="R65" s="24">
        <f>if(count(Actuals!R$4:R$65) =0, 0,ROUND(IF(Actuals!R65="",Q65,IF(Actuals!R65 &gt; Q65,(0.2*(Actuals!R65-Q65)+Q65),(0.5*(Q65+Actuals!R65)))),2))</f>
        <v>0</v>
      </c>
    </row>
    <row r="66">
      <c r="A66" s="13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</row>
    <row r="67">
      <c r="A67" s="13" t="str">
        <f>Actuals!B67</f>
        <v>League Avg</v>
      </c>
      <c r="B67" s="24">
        <v>0.0</v>
      </c>
      <c r="C67" s="24">
        <f>if(count(Actuals!C$4:C$44) =0, 0,ROUND(IF(Actuals!C64="",B67,IF(Actuals!C64 &gt; B67,(0.2*(Actuals!C64-B67)+B67),(0.5*(B67+Actuals!C64)))),2))</f>
        <v>0</v>
      </c>
      <c r="D67" s="24">
        <f>if(count(Actuals!D$4:D$44) =0, 0,ROUND(IF(Actuals!D64="",C67,IF(Actuals!D64 &gt; C67,(0.2*(Actuals!D64-C67)+C67),(0.5*(C67+Actuals!D64)))),2))</f>
        <v>0</v>
      </c>
      <c r="E67" s="24">
        <f>if(count(Actuals!E$4:E$44) =0, 0,ROUND(IF(Actuals!E64="",D67,IF(Actuals!E64 &gt; D67,(0.2*(Actuals!E64-D67)+D67),(0.5*(D67+Actuals!E64)))),2))</f>
        <v>0</v>
      </c>
      <c r="F67" s="24">
        <f>if(count(Actuals!F$4:F$44) =0, 0,ROUND(IF(Actuals!F64="",E67,IF(Actuals!F64 &gt; E67,(0.2*(Actuals!F64-E67)+E67),(0.3333*((E67*2)+Actuals!F64)))),2))</f>
        <v>0</v>
      </c>
      <c r="G67" s="24">
        <f>if(count(Actuals!G$4:G$44) =0, 0,ROUND(IF(Actuals!G64="",F67,IF(Actuals!G64 &gt; F67,(0.2*(Actuals!G64-F67)+F67),(0.3333*((F67*2)+Actuals!G64)))),2))</f>
        <v>0</v>
      </c>
      <c r="H67" s="24">
        <f>if(count(Actuals!H$4:H$44) =0, 0,ROUND(IF(Actuals!H64="",G67,IF(Actuals!H64 &gt; G67,(0.2*(Actuals!H64-G67)+G67),(0.3333*((G67*2)+Actuals!H64)))),2))</f>
        <v>0</v>
      </c>
      <c r="I67" s="24">
        <f>if(count(Actuals!I$4:I$44) =0, 0,ROUND(IF(Actuals!I64="",H67,IF(Actuals!I64 &gt; H67,(0.2*(Actuals!I64-H67)+H67),(0.3333*((H67*2)+Actuals!I64)))),2))</f>
        <v>0</v>
      </c>
      <c r="J67" s="24">
        <f>if(count(Actuals!J$4:J$44) =0, 0,ROUND(IF(Actuals!J64="",I67,IF(Actuals!J64 &gt; I67,(0.2*(Actuals!J64-I67)+I67),(0.3333*((I67*2)+Actuals!J64)))),2))</f>
        <v>0</v>
      </c>
      <c r="K67" s="24">
        <f>if(count(Actuals!K$4:K$44) =0, 0,ROUND(IF(Actuals!K64="",J67,IF(Actuals!K64 &gt; J67,(0.2*(Actuals!K64-J67)+J67),(0.3333*((J67*2)+Actuals!K64)))),2))</f>
        <v>0</v>
      </c>
      <c r="L67" s="24">
        <f>if(count(Actuals!L$4:L$44) =0, 0,ROUND(IF(Actuals!L64="",K67,IF(Actuals!L64 &gt; K67,(0.2*(Actuals!L64-K67)+K67),(0.3333*((K67*2)+Actuals!L64)))),2))</f>
        <v>0</v>
      </c>
      <c r="M67" s="24">
        <f>if(count(Actuals!M$4:M$44) =0, 0,ROUND(IF(Actuals!M64="",L67,IF(Actuals!M64 &gt; L67,(0.2*(Actuals!M64-L67)+L67),(0.3333*((L67*2)+Actuals!M64)))),2))</f>
        <v>0</v>
      </c>
      <c r="N67" s="24">
        <f>if(count(Actuals!N$4:N$44) =0, 0,ROUND(IF(Actuals!N64="",M67,IF(Actuals!N64 &gt; M67,(0.15*(Actuals!N64-M67)+M67),(0.3333*((M67*2)+Actuals!N64)))),2))</f>
        <v>0</v>
      </c>
      <c r="O67" s="24">
        <f>if(count(Actuals!O$4:O$44) =0, 0,ROUND(IF(Actuals!O64="",N67,IF(Actuals!O64 &gt; N67,(0.15*(Actuals!O64-N67)+N67),(0.3333*((N67*2)+Actuals!O64)))),2))</f>
        <v>0</v>
      </c>
      <c r="P67" s="24">
        <f>if(count(Actuals!P$4:P$44) =0, 0,ROUND(IF(Actuals!P64="",O67,IF(Actuals!P64 &gt; O67,(0.15*(Actuals!P64-O67)+O67),(0.3333*((O67*2)+Actuals!P64)))),2))</f>
        <v>0</v>
      </c>
      <c r="Q67" s="24">
        <f>if(count(Actuals!Q$4:Q$44) =0, 0,ROUND(IF(Actuals!Q64="",P67,IF(Actuals!Q64 &gt; P67,(0.15*(Actuals!Q64-P67)+P67),(0.3333*((P67*2)+Actuals!Q64)))),2))</f>
        <v>0</v>
      </c>
      <c r="R67" s="24">
        <f t="shared" ref="R67:R68" si="1">if(count(#REF!) =0, 0,ROUND(IF(#REF!="",#REF!,IF(#REF! &gt; #REF!,(0.1*(#REF!-#REF!)+#REF!),(0.3333*((#REF!*2)+#REF!)))),2))</f>
        <v>0</v>
      </c>
    </row>
    <row r="68">
      <c r="A68" s="13" t="str">
        <f>Actuals!B68</f>
        <v>Players</v>
      </c>
      <c r="B68" s="24">
        <v>0.0</v>
      </c>
      <c r="C68" s="24">
        <f>if(count(Actuals!C$4:C$44) =0, 0,ROUND(IF(Actuals!C65="",B68,IF(Actuals!C65 &gt; B68,(0.2*(Actuals!C65-B68)+B68),(0.5*(B68+Actuals!C65)))),2))</f>
        <v>0</v>
      </c>
      <c r="D68" s="24">
        <f>if(count(Actuals!D$4:D$44) =0, 0,ROUND(IF(Actuals!D65="",C68,IF(Actuals!D65 &gt; C68,(0.2*(Actuals!D65-C68)+C68),(0.5*(C68+Actuals!D65)))),2))</f>
        <v>0</v>
      </c>
      <c r="E68" s="24">
        <f>if(count(Actuals!E$4:E$44) =0, 0,ROUND(IF(Actuals!E65="",D68,IF(Actuals!E65 &gt; D68,(0.2*(Actuals!E65-D68)+D68),(0.5*(D68+Actuals!E65)))),2))</f>
        <v>0</v>
      </c>
      <c r="F68" s="24">
        <f>if(count(Actuals!F$4:F$44) =0, 0,ROUND(IF(Actuals!F65="",E68,IF(Actuals!F65 &gt; E68,(0.2*(Actuals!F65-E68)+E68),(0.3333*((E68*2)+Actuals!F65)))),2))</f>
        <v>0</v>
      </c>
      <c r="G68" s="24">
        <f>if(count(Actuals!G$4:G$44) =0, 0,ROUND(IF(Actuals!G65="",F68,IF(Actuals!G65 &gt; F68,(0.2*(Actuals!G65-F68)+F68),(0.3333*((F68*2)+Actuals!G65)))),2))</f>
        <v>0</v>
      </c>
      <c r="H68" s="24">
        <f>if(count(Actuals!H$4:H$44) =0, 0,ROUND(IF(Actuals!H65="",G68,IF(Actuals!H65 &gt; G68,(0.2*(Actuals!H65-G68)+G68),(0.3333*((G68*2)+Actuals!H65)))),2))</f>
        <v>0</v>
      </c>
      <c r="I68" s="24">
        <f>if(count(Actuals!I$4:I$44) =0, 0,ROUND(IF(Actuals!I65="",H68,IF(Actuals!I65 &gt; H68,(0.2*(Actuals!I65-H68)+H68),(0.3333*((H68*2)+Actuals!I65)))),2))</f>
        <v>0</v>
      </c>
      <c r="J68" s="24">
        <f>if(count(Actuals!J$4:J$44) =0, 0,ROUND(IF(Actuals!J65="",I68,IF(Actuals!J65 &gt; I68,(0.2*(Actuals!J65-I68)+I68),(0.3333*((I68*2)+Actuals!J65)))),2))</f>
        <v>0</v>
      </c>
      <c r="K68" s="24">
        <f>if(count(Actuals!K$4:K$44) =0, 0,ROUND(IF(Actuals!K65="",J68,IF(Actuals!K65 &gt; J68,(0.2*(Actuals!K65-J68)+J68),(0.3333*((J68*2)+Actuals!K65)))),2))</f>
        <v>0</v>
      </c>
      <c r="L68" s="24">
        <f>if(count(Actuals!L$4:L$44) =0, 0,ROUND(IF(Actuals!L65="",K68,IF(Actuals!L65 &gt; K68,(0.2*(Actuals!L65-K68)+K68),(0.3333*((K68*2)+Actuals!L65)))),2))</f>
        <v>0</v>
      </c>
      <c r="M68" s="24">
        <f>if(count(Actuals!M$4:M$44) =0, 0,ROUND(IF(Actuals!M65="",L68,IF(Actuals!M65 &gt; L68,(0.2*(Actuals!M65-L68)+L68),(0.3333*((L68*2)+Actuals!M65)))),2))</f>
        <v>0</v>
      </c>
      <c r="N68" s="24">
        <f>if(count(Actuals!N$4:N$44) =0, 0,ROUND(IF(Actuals!N65="",M68,IF(Actuals!N65 &gt; M68,(0.15*(Actuals!N65-M68)+M68),(0.3333*((M68*2)+Actuals!N65)))),2))</f>
        <v>0</v>
      </c>
      <c r="O68" s="24">
        <f>if(count(Actuals!O$4:O$44) =0, 0,ROUND(IF(Actuals!O65="",N68,IF(Actuals!O65 &gt; N68,(0.15*(Actuals!O65-N68)+N68),(0.3333*((N68*2)+Actuals!O65)))),2))</f>
        <v>0</v>
      </c>
      <c r="P68" s="24">
        <f>if(count(Actuals!P$4:P$44) =0, 0,ROUND(IF(Actuals!P65="",O68,IF(Actuals!P65 &gt; O68,(0.15*(Actuals!P65-O68)+O68),(0.3333*((O68*2)+Actuals!P65)))),2))</f>
        <v>0</v>
      </c>
      <c r="Q68" s="24">
        <f>if(count(Actuals!Q$4:Q$44) =0, 0,ROUND(IF(Actuals!Q65="",P68,IF(Actuals!Q65 &gt; P68,(0.15*(Actuals!Q65-P68)+P68),(0.3333*((P68*2)+Actuals!Q65)))),2))</f>
        <v>0</v>
      </c>
      <c r="R68" s="24">
        <f t="shared" si="1"/>
        <v>0</v>
      </c>
    </row>
  </sheetData>
  <mergeCells count="1">
    <mergeCell ref="B1:Q1"/>
  </mergeCell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7" width="8.63"/>
    <col customWidth="1" min="18" max="20" width="8.13"/>
  </cols>
  <sheetData>
    <row r="1">
      <c r="A1" s="83"/>
      <c r="B1" s="18" t="s">
        <v>233</v>
      </c>
      <c r="R1" s="20"/>
    </row>
    <row r="2">
      <c r="A2" s="8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>
      <c r="A3" s="26" t="s">
        <v>2</v>
      </c>
      <c r="B3" s="84" t="s">
        <v>3</v>
      </c>
      <c r="C3" s="84" t="s">
        <v>4</v>
      </c>
      <c r="D3" s="84" t="s">
        <v>5</v>
      </c>
      <c r="E3" s="84" t="s">
        <v>6</v>
      </c>
      <c r="F3" s="84" t="s">
        <v>7</v>
      </c>
      <c r="G3" s="84" t="s">
        <v>8</v>
      </c>
      <c r="H3" s="84" t="s">
        <v>9</v>
      </c>
      <c r="I3" s="84" t="s">
        <v>10</v>
      </c>
      <c r="J3" s="84" t="s">
        <v>11</v>
      </c>
      <c r="K3" s="84" t="s">
        <v>12</v>
      </c>
      <c r="L3" s="84" t="s">
        <v>13</v>
      </c>
      <c r="M3" s="84" t="s">
        <v>14</v>
      </c>
      <c r="N3" s="84" t="s">
        <v>15</v>
      </c>
      <c r="O3" s="84" t="s">
        <v>16</v>
      </c>
      <c r="P3" s="84" t="s">
        <v>17</v>
      </c>
      <c r="Q3" s="84" t="s">
        <v>18</v>
      </c>
      <c r="R3" s="84" t="s">
        <v>39</v>
      </c>
      <c r="S3" s="78" t="s">
        <v>40</v>
      </c>
      <c r="T3" s="78" t="s">
        <v>41</v>
      </c>
      <c r="U3" s="78" t="s">
        <v>19</v>
      </c>
    </row>
    <row r="4">
      <c r="A4" s="26" t="str">
        <f>Actuals!B4</f>
        <v>Adrian C</v>
      </c>
      <c r="B4" s="33">
        <f>If(Actuals!$A4=1,0, IF(Actuals!C4="",0,rank(NetScoreForPoints!B4,NetScoreForPoints!B$4:B$110,1)))</f>
        <v>0</v>
      </c>
      <c r="C4" s="33">
        <f>If(Actuals!$A4=1,0, IF(Actuals!D4="",0,rank(NetScoreForPoints!C4,NetScoreForPoints!C$4:C$110,1)))</f>
        <v>0</v>
      </c>
      <c r="D4" s="33">
        <f>If(Actuals!$A4=1,0, IF(Actuals!E4="",0,rank(NetScoreForPoints!D4,NetScoreForPoints!D$4:D$110,1)))</f>
        <v>0</v>
      </c>
      <c r="E4" s="33">
        <f>If(Actuals!$A4=1,0, IF(Actuals!F4="",0,rank(NetScoreForPoints!E4,NetScoreForPoints!E$4:E$110,1)))</f>
        <v>0</v>
      </c>
      <c r="F4" s="33">
        <f>If(Actuals!$A4=1,0, IF(Actuals!G4="",0,rank(NetScoreForPoints!F4,NetScoreForPoints!F$4:F$110,1)))</f>
        <v>0</v>
      </c>
      <c r="G4" s="33">
        <f>If(Actuals!$A4=1,0, IF(Actuals!H4="",0,rank(NetScoreForPoints!G4,NetScoreForPoints!G$4:G$110,1)))</f>
        <v>0</v>
      </c>
      <c r="H4" s="33">
        <f>If(Actuals!$A4=1,0, IF(Actuals!I4="",0,rank(NetScoreForPoints!H4,NetScoreForPoints!H$4:H$110,1)))</f>
        <v>0</v>
      </c>
      <c r="I4" s="33">
        <f>If(Actuals!$A4=1,0, IF(Actuals!J4="",0,rank(NetScoreForPoints!I4,NetScoreForPoints!I$4:I$110,1)))</f>
        <v>0</v>
      </c>
      <c r="J4" s="33">
        <f>If(Actuals!$A4=1,0, IF(Actuals!K4="",0,rank(NetScoreForPoints!J4,NetScoreForPoints!J$4:J$110,1)))</f>
        <v>0</v>
      </c>
      <c r="K4" s="33">
        <f>If(Actuals!$A4=1,0, IF(Actuals!L4="",0,rank(NetScoreForPoints!K4,NetScoreForPoints!K$4:K$110,1)))</f>
        <v>0</v>
      </c>
      <c r="L4" s="33">
        <f>If(Actuals!$A4=1,0, IF(Actuals!M4="",0,rank(NetScoreForPoints!L4,NetScoreForPoints!L$4:L$110,1)))</f>
        <v>0</v>
      </c>
      <c r="M4" s="33">
        <f>If(Actuals!$A4=1,0, IF(Actuals!N4="",0,rank(NetScoreForPoints!M4,NetScoreForPoints!M$4:M$110,1)))</f>
        <v>0</v>
      </c>
      <c r="N4" s="33">
        <f>If(Actuals!$A4=1,0, IF(Actuals!O4="",0,rank(NetScoreForPoints!N4,NetScoreForPoints!N$4:N$110,1)))</f>
        <v>0</v>
      </c>
      <c r="O4" s="33">
        <f>If(Actuals!$A4=1,0, IF(Actuals!P4="",0,rank(NetScoreForPoints!O4,NetScoreForPoints!O$4:O$110,1)))</f>
        <v>0</v>
      </c>
      <c r="P4" s="33">
        <f>If(Actuals!$A4=1,0, IF(Actuals!Q4="",0,rank(NetScoreForPoints!P4,NetScoreForPoints!P$4:P$110,1)))</f>
        <v>0</v>
      </c>
      <c r="Q4" s="33">
        <f>If(Actuals!$A4=1,0, IF(Actuals!R4="",0,rank(NetScoreForPoints!Q4,NetScoreForPoints!Q$4:Q$110,1)))</f>
        <v>0</v>
      </c>
      <c r="R4" s="20">
        <f>countif(($B4:$Q4),1) </f>
        <v>0</v>
      </c>
      <c r="S4" s="20">
        <f t="shared" ref="S4:S54" si="1">countifs(($B4:$Q4),"&gt; 0", ($B4:$Q4),"&lt;4") </f>
        <v>0</v>
      </c>
      <c r="T4" s="20">
        <f t="shared" ref="T4:T54" si="2">countifs(($B4:$Q4),"&gt; 0", ($B4:$Q4),"&lt;6") </f>
        <v>0</v>
      </c>
      <c r="U4" s="20">
        <f t="shared" ref="U4:U54" si="3">countifs(($B4:$Q4),"&gt; 0", ($B4:$Q4),"&lt;50") </f>
        <v>0</v>
      </c>
    </row>
    <row r="5">
      <c r="A5" s="26" t="str">
        <f>Actuals!B5</f>
        <v>Alan D</v>
      </c>
      <c r="B5" s="33">
        <f>If(Actuals!$A5=1,0, IF(Actuals!C5="",0,rank(NetScoreForPoints!B5,NetScoreForPoints!B$4:B$110,1)))</f>
        <v>0</v>
      </c>
      <c r="C5" s="33">
        <f>If(Actuals!$A5=1,0, IF(Actuals!D5="",0,rank(NetScoreForPoints!C5,NetScoreForPoints!C$4:C$110,1)))</f>
        <v>0</v>
      </c>
      <c r="D5" s="33">
        <f>If(Actuals!$A5=1,0, IF(Actuals!E5="",0,rank(NetScoreForPoints!D5,NetScoreForPoints!D$4:D$110,1)))</f>
        <v>0</v>
      </c>
      <c r="E5" s="33">
        <f>If(Actuals!$A5=1,0, IF(Actuals!F5="",0,rank(NetScoreForPoints!E5,NetScoreForPoints!E$4:E$110,1)))</f>
        <v>0</v>
      </c>
      <c r="F5" s="33">
        <f>If(Actuals!$A5=1,0, IF(Actuals!G5="",0,rank(NetScoreForPoints!F5,NetScoreForPoints!F$4:F$110,1)))</f>
        <v>0</v>
      </c>
      <c r="G5" s="33">
        <f>If(Actuals!$A5=1,0, IF(Actuals!H5="",0,rank(NetScoreForPoints!G5,NetScoreForPoints!G$4:G$110,1)))</f>
        <v>0</v>
      </c>
      <c r="H5" s="33">
        <f>If(Actuals!$A5=1,0, IF(Actuals!I5="",0,rank(NetScoreForPoints!H5,NetScoreForPoints!H$4:H$110,1)))</f>
        <v>0</v>
      </c>
      <c r="I5" s="33">
        <f>If(Actuals!$A5=1,0, IF(Actuals!J5="",0,rank(NetScoreForPoints!I5,NetScoreForPoints!I$4:I$110,1)))</f>
        <v>0</v>
      </c>
      <c r="J5" s="33">
        <f>If(Actuals!$A5=1,0, IF(Actuals!K5="",0,rank(NetScoreForPoints!J5,NetScoreForPoints!J$4:J$110,1)))</f>
        <v>0</v>
      </c>
      <c r="K5" s="33">
        <f>If(Actuals!$A5=1,0, IF(Actuals!L5="",0,rank(NetScoreForPoints!K5,NetScoreForPoints!K$4:K$110,1)))</f>
        <v>0</v>
      </c>
      <c r="L5" s="33">
        <f>If(Actuals!$A5=1,0, IF(Actuals!M5="",0,rank(NetScoreForPoints!L5,NetScoreForPoints!L$4:L$110,1)))</f>
        <v>0</v>
      </c>
      <c r="M5" s="33">
        <f>If(Actuals!$A5=1,0, IF(Actuals!N5="",0,rank(NetScoreForPoints!M5,NetScoreForPoints!M$4:M$110,1)))</f>
        <v>0</v>
      </c>
      <c r="N5" s="33">
        <f>If(Actuals!$A5=1,0, IF(Actuals!O5="",0,rank(NetScoreForPoints!N5,NetScoreForPoints!N$4:N$110,1)))</f>
        <v>0</v>
      </c>
      <c r="O5" s="33">
        <f>If(Actuals!$A5=1,0, IF(Actuals!P5="",0,rank(NetScoreForPoints!O5,NetScoreForPoints!O$4:O$110,1)))</f>
        <v>0</v>
      </c>
      <c r="P5" s="33">
        <f>If(Actuals!$A5=1,0, IF(Actuals!Q5="",0,rank(NetScoreForPoints!P5,NetScoreForPoints!P$4:P$110,1)))</f>
        <v>0</v>
      </c>
      <c r="Q5" s="33">
        <f>If(Actuals!$A5=1,0, IF(Actuals!R5="",0,rank(NetScoreForPoints!Q5,NetScoreForPoints!Q$4:Q$110,1)))</f>
        <v>0</v>
      </c>
      <c r="R5" s="20">
        <f t="shared" ref="R5:R54" si="4">countif((B5:Q5),1) </f>
        <v>0</v>
      </c>
      <c r="S5" s="20">
        <f t="shared" si="1"/>
        <v>0</v>
      </c>
      <c r="T5" s="20">
        <f t="shared" si="2"/>
        <v>0</v>
      </c>
      <c r="U5" s="20">
        <f t="shared" si="3"/>
        <v>0</v>
      </c>
    </row>
    <row r="6">
      <c r="A6" s="26" t="str">
        <f>Actuals!B6</f>
        <v>Baxter C</v>
      </c>
      <c r="B6" s="33">
        <f>If(Actuals!$A6=1,0, IF(Actuals!C6="",0,rank(NetScoreForPoints!B6,NetScoreForPoints!B$4:B$110,1)))</f>
        <v>0</v>
      </c>
      <c r="C6" s="33">
        <f>If(Actuals!$A6=1,0, IF(Actuals!D6="",0,rank(NetScoreForPoints!C6,NetScoreForPoints!C$4:C$110,1)))</f>
        <v>0</v>
      </c>
      <c r="D6" s="33">
        <f>If(Actuals!$A6=1,0, IF(Actuals!E6="",0,rank(NetScoreForPoints!D6,NetScoreForPoints!D$4:D$110,1)))</f>
        <v>0</v>
      </c>
      <c r="E6" s="33">
        <f>If(Actuals!$A6=1,0, IF(Actuals!F6="",0,rank(NetScoreForPoints!E6,NetScoreForPoints!E$4:E$110,1)))</f>
        <v>0</v>
      </c>
      <c r="F6" s="33">
        <f>If(Actuals!$A6=1,0, IF(Actuals!G6="",0,rank(NetScoreForPoints!F6,NetScoreForPoints!F$4:F$110,1)))</f>
        <v>0</v>
      </c>
      <c r="G6" s="33">
        <f>If(Actuals!$A6=1,0, IF(Actuals!H6="",0,rank(NetScoreForPoints!G6,NetScoreForPoints!G$4:G$110,1)))</f>
        <v>0</v>
      </c>
      <c r="H6" s="33">
        <f>If(Actuals!$A6=1,0, IF(Actuals!I6="",0,rank(NetScoreForPoints!H6,NetScoreForPoints!H$4:H$110,1)))</f>
        <v>0</v>
      </c>
      <c r="I6" s="33">
        <f>If(Actuals!$A6=1,0, IF(Actuals!J6="",0,rank(NetScoreForPoints!I6,NetScoreForPoints!I$4:I$110,1)))</f>
        <v>0</v>
      </c>
      <c r="J6" s="33">
        <f>If(Actuals!$A6=1,0, IF(Actuals!K6="",0,rank(NetScoreForPoints!J6,NetScoreForPoints!J$4:J$110,1)))</f>
        <v>0</v>
      </c>
      <c r="K6" s="33">
        <f>If(Actuals!$A6=1,0, IF(Actuals!L6="",0,rank(NetScoreForPoints!K6,NetScoreForPoints!K$4:K$110,1)))</f>
        <v>0</v>
      </c>
      <c r="L6" s="33">
        <f>If(Actuals!$A6=1,0, IF(Actuals!M6="",0,rank(NetScoreForPoints!L6,NetScoreForPoints!L$4:L$110,1)))</f>
        <v>0</v>
      </c>
      <c r="M6" s="33">
        <f>If(Actuals!$A6=1,0, IF(Actuals!N6="",0,rank(NetScoreForPoints!M6,NetScoreForPoints!M$4:M$110,1)))</f>
        <v>0</v>
      </c>
      <c r="N6" s="33">
        <f>If(Actuals!$A6=1,0, IF(Actuals!O6="",0,rank(NetScoreForPoints!N6,NetScoreForPoints!N$4:N$110,1)))</f>
        <v>0</v>
      </c>
      <c r="O6" s="33">
        <f>If(Actuals!$A6=1,0, IF(Actuals!P6="",0,rank(NetScoreForPoints!O6,NetScoreForPoints!O$4:O$110,1)))</f>
        <v>0</v>
      </c>
      <c r="P6" s="33">
        <f>If(Actuals!$A6=1,0, IF(Actuals!Q6="",0,rank(NetScoreForPoints!P6,NetScoreForPoints!P$4:P$110,1)))</f>
        <v>0</v>
      </c>
      <c r="Q6" s="33">
        <f>If(Actuals!$A6=1,0, IF(Actuals!R6="",0,rank(NetScoreForPoints!Q6,NetScoreForPoints!Q$4:Q$110,1)))</f>
        <v>0</v>
      </c>
      <c r="R6" s="20">
        <f t="shared" si="4"/>
        <v>0</v>
      </c>
      <c r="S6" s="20">
        <f t="shared" si="1"/>
        <v>0</v>
      </c>
      <c r="T6" s="20">
        <f t="shared" si="2"/>
        <v>0</v>
      </c>
      <c r="U6" s="20">
        <f t="shared" si="3"/>
        <v>0</v>
      </c>
    </row>
    <row r="7">
      <c r="A7" s="26" t="str">
        <f>Actuals!B7</f>
        <v>Bill Morton</v>
      </c>
      <c r="B7" s="33">
        <f>If(Actuals!$A7=1,0, IF(Actuals!C7="",0,rank(NetScoreForPoints!B7,NetScoreForPoints!B$4:B$110,1)))</f>
        <v>0</v>
      </c>
      <c r="C7" s="33">
        <f>If(Actuals!$A7=1,0, IF(Actuals!D7="",0,rank(NetScoreForPoints!C7,NetScoreForPoints!C$4:C$110,1)))</f>
        <v>0</v>
      </c>
      <c r="D7" s="33">
        <f>If(Actuals!$A7=1,0, IF(Actuals!E7="",0,rank(NetScoreForPoints!D7,NetScoreForPoints!D$4:D$110,1)))</f>
        <v>0</v>
      </c>
      <c r="E7" s="33">
        <f>If(Actuals!$A7=1,0, IF(Actuals!F7="",0,rank(NetScoreForPoints!E7,NetScoreForPoints!E$4:E$110,1)))</f>
        <v>0</v>
      </c>
      <c r="F7" s="33">
        <f>If(Actuals!$A7=1,0, IF(Actuals!G7="",0,rank(NetScoreForPoints!F7,NetScoreForPoints!F$4:F$110,1)))</f>
        <v>0</v>
      </c>
      <c r="G7" s="33">
        <f>If(Actuals!$A7=1,0, IF(Actuals!H7="",0,rank(NetScoreForPoints!G7,NetScoreForPoints!G$4:G$110,1)))</f>
        <v>0</v>
      </c>
      <c r="H7" s="33">
        <f>If(Actuals!$A7=1,0, IF(Actuals!I7="",0,rank(NetScoreForPoints!H7,NetScoreForPoints!H$4:H$110,1)))</f>
        <v>0</v>
      </c>
      <c r="I7" s="33">
        <f>If(Actuals!$A7=1,0, IF(Actuals!J7="",0,rank(NetScoreForPoints!I7,NetScoreForPoints!I$4:I$110,1)))</f>
        <v>0</v>
      </c>
      <c r="J7" s="33">
        <f>If(Actuals!$A7=1,0, IF(Actuals!K7="",0,rank(NetScoreForPoints!J7,NetScoreForPoints!J$4:J$110,1)))</f>
        <v>0</v>
      </c>
      <c r="K7" s="33">
        <f>If(Actuals!$A7=1,0, IF(Actuals!L7="",0,rank(NetScoreForPoints!K7,NetScoreForPoints!K$4:K$110,1)))</f>
        <v>0</v>
      </c>
      <c r="L7" s="33">
        <f>If(Actuals!$A7=1,0, IF(Actuals!M7="",0,rank(NetScoreForPoints!L7,NetScoreForPoints!L$4:L$110,1)))</f>
        <v>0</v>
      </c>
      <c r="M7" s="33">
        <f>If(Actuals!$A7=1,0, IF(Actuals!N7="",0,rank(NetScoreForPoints!M7,NetScoreForPoints!M$4:M$110,1)))</f>
        <v>0</v>
      </c>
      <c r="N7" s="33">
        <f>If(Actuals!$A7=1,0, IF(Actuals!O7="",0,rank(NetScoreForPoints!N7,NetScoreForPoints!N$4:N$110,1)))</f>
        <v>0</v>
      </c>
      <c r="O7" s="33">
        <f>If(Actuals!$A7=1,0, IF(Actuals!P7="",0,rank(NetScoreForPoints!O7,NetScoreForPoints!O$4:O$110,1)))</f>
        <v>0</v>
      </c>
      <c r="P7" s="33">
        <f>If(Actuals!$A7=1,0, IF(Actuals!Q7="",0,rank(NetScoreForPoints!P7,NetScoreForPoints!P$4:P$110,1)))</f>
        <v>0</v>
      </c>
      <c r="Q7" s="33">
        <f>If(Actuals!$A7=1,0, IF(Actuals!R7="",0,rank(NetScoreForPoints!Q7,NetScoreForPoints!Q$4:Q$110,1)))</f>
        <v>0</v>
      </c>
      <c r="R7" s="20">
        <f t="shared" si="4"/>
        <v>0</v>
      </c>
      <c r="S7" s="20">
        <f t="shared" si="1"/>
        <v>0</v>
      </c>
      <c r="T7" s="20">
        <f t="shared" si="2"/>
        <v>0</v>
      </c>
      <c r="U7" s="20">
        <f t="shared" si="3"/>
        <v>0</v>
      </c>
    </row>
    <row r="8">
      <c r="A8" s="26" t="str">
        <f>Actuals!B8</f>
        <v>Brian M</v>
      </c>
      <c r="B8" s="33">
        <f>If(Actuals!$A8=1,0, IF(Actuals!C8="",0,rank(NetScoreForPoints!B8,NetScoreForPoints!B$4:B$110,1)))</f>
        <v>2</v>
      </c>
      <c r="C8" s="33">
        <f>If(Actuals!$A8=1,0, IF(Actuals!D8="",0,rank(NetScoreForPoints!C8,NetScoreForPoints!C$4:C$110,1)))</f>
        <v>1</v>
      </c>
      <c r="D8" s="33">
        <f>If(Actuals!$A8=1,0, IF(Actuals!E8="",0,rank(NetScoreForPoints!D8,NetScoreForPoints!D$4:D$110,1)))</f>
        <v>8</v>
      </c>
      <c r="E8" s="33">
        <f>If(Actuals!$A8=1,0, IF(Actuals!F8="",0,rank(NetScoreForPoints!E8,NetScoreForPoints!E$4:E$110,1)))</f>
        <v>0</v>
      </c>
      <c r="F8" s="33">
        <f>If(Actuals!$A8=1,0, IF(Actuals!G8="",0,rank(NetScoreForPoints!F8,NetScoreForPoints!F$4:F$110,1)))</f>
        <v>0</v>
      </c>
      <c r="G8" s="33">
        <f>If(Actuals!$A8=1,0, IF(Actuals!H8="",0,rank(NetScoreForPoints!G8,NetScoreForPoints!G$4:G$110,1)))</f>
        <v>0</v>
      </c>
      <c r="H8" s="33">
        <f>If(Actuals!$A8=1,0, IF(Actuals!I8="",0,rank(NetScoreForPoints!H8,NetScoreForPoints!H$4:H$110,1)))</f>
        <v>0</v>
      </c>
      <c r="I8" s="33">
        <f>If(Actuals!$A8=1,0, IF(Actuals!J8="",0,rank(NetScoreForPoints!I8,NetScoreForPoints!I$4:I$110,1)))</f>
        <v>0</v>
      </c>
      <c r="J8" s="33">
        <f>If(Actuals!$A8=1,0, IF(Actuals!K8="",0,rank(NetScoreForPoints!J8,NetScoreForPoints!J$4:J$110,1)))</f>
        <v>0</v>
      </c>
      <c r="K8" s="33">
        <f>If(Actuals!$A8=1,0, IF(Actuals!L8="",0,rank(NetScoreForPoints!K8,NetScoreForPoints!K$4:K$110,1)))</f>
        <v>0</v>
      </c>
      <c r="L8" s="33">
        <f>If(Actuals!$A8=1,0, IF(Actuals!M8="",0,rank(NetScoreForPoints!L8,NetScoreForPoints!L$4:L$110,1)))</f>
        <v>0</v>
      </c>
      <c r="M8" s="33">
        <f>If(Actuals!$A8=1,0, IF(Actuals!N8="",0,rank(NetScoreForPoints!M8,NetScoreForPoints!M$4:M$110,1)))</f>
        <v>0</v>
      </c>
      <c r="N8" s="33">
        <f>If(Actuals!$A8=1,0, IF(Actuals!O8="",0,rank(NetScoreForPoints!N8,NetScoreForPoints!N$4:N$110,1)))</f>
        <v>0</v>
      </c>
      <c r="O8" s="33">
        <f>If(Actuals!$A8=1,0, IF(Actuals!P8="",0,rank(NetScoreForPoints!O8,NetScoreForPoints!O$4:O$110,1)))</f>
        <v>0</v>
      </c>
      <c r="P8" s="33">
        <f>If(Actuals!$A8=1,0, IF(Actuals!Q8="",0,rank(NetScoreForPoints!P8,NetScoreForPoints!P$4:P$110,1)))</f>
        <v>0</v>
      </c>
      <c r="Q8" s="33">
        <f>If(Actuals!$A8=1,0, IF(Actuals!R8="",0,rank(NetScoreForPoints!Q8,NetScoreForPoints!Q$4:Q$110,1)))</f>
        <v>0</v>
      </c>
      <c r="R8" s="20">
        <f t="shared" si="4"/>
        <v>1</v>
      </c>
      <c r="S8" s="20">
        <f t="shared" si="1"/>
        <v>2</v>
      </c>
      <c r="T8" s="20">
        <f t="shared" si="2"/>
        <v>2</v>
      </c>
      <c r="U8" s="20">
        <f t="shared" si="3"/>
        <v>3</v>
      </c>
    </row>
    <row r="9">
      <c r="A9" s="26" t="str">
        <f>Actuals!B9</f>
        <v>Bruce Marburger</v>
      </c>
      <c r="B9" s="33">
        <f>If(Actuals!$A9=1,0, IF(Actuals!C9="",0,rank(NetScoreForPoints!B9,NetScoreForPoints!B$4:B$110,1)))</f>
        <v>10</v>
      </c>
      <c r="C9" s="33">
        <f>If(Actuals!$A9=1,0, IF(Actuals!D9="",0,rank(NetScoreForPoints!C9,NetScoreForPoints!C$4:C$110,1)))</f>
        <v>0</v>
      </c>
      <c r="D9" s="33">
        <f>If(Actuals!$A9=1,0, IF(Actuals!E9="",0,rank(NetScoreForPoints!D9,NetScoreForPoints!D$4:D$110,1)))</f>
        <v>0</v>
      </c>
      <c r="E9" s="33">
        <f>If(Actuals!$A9=1,0, IF(Actuals!F9="",0,rank(NetScoreForPoints!E9,NetScoreForPoints!E$4:E$110,1)))</f>
        <v>0</v>
      </c>
      <c r="F9" s="33">
        <f>If(Actuals!$A9=1,0, IF(Actuals!G9="",0,rank(NetScoreForPoints!F9,NetScoreForPoints!F$4:F$110,1)))</f>
        <v>0</v>
      </c>
      <c r="G9" s="33">
        <f>If(Actuals!$A9=1,0, IF(Actuals!H9="",0,rank(NetScoreForPoints!G9,NetScoreForPoints!G$4:G$110,1)))</f>
        <v>0</v>
      </c>
      <c r="H9" s="33">
        <f>If(Actuals!$A9=1,0, IF(Actuals!I9="",0,rank(NetScoreForPoints!H9,NetScoreForPoints!H$4:H$110,1)))</f>
        <v>0</v>
      </c>
      <c r="I9" s="33">
        <f>If(Actuals!$A9=1,0, IF(Actuals!J9="",0,rank(NetScoreForPoints!I9,NetScoreForPoints!I$4:I$110,1)))</f>
        <v>0</v>
      </c>
      <c r="J9" s="33">
        <f>If(Actuals!$A9=1,0, IF(Actuals!K9="",0,rank(NetScoreForPoints!J9,NetScoreForPoints!J$4:J$110,1)))</f>
        <v>0</v>
      </c>
      <c r="K9" s="33">
        <f>If(Actuals!$A9=1,0, IF(Actuals!L9="",0,rank(NetScoreForPoints!K9,NetScoreForPoints!K$4:K$110,1)))</f>
        <v>0</v>
      </c>
      <c r="L9" s="33">
        <f>If(Actuals!$A9=1,0, IF(Actuals!M9="",0,rank(NetScoreForPoints!L9,NetScoreForPoints!L$4:L$110,1)))</f>
        <v>0</v>
      </c>
      <c r="M9" s="33">
        <f>If(Actuals!$A9=1,0, IF(Actuals!N9="",0,rank(NetScoreForPoints!M9,NetScoreForPoints!M$4:M$110,1)))</f>
        <v>0</v>
      </c>
      <c r="N9" s="33">
        <f>If(Actuals!$A9=1,0, IF(Actuals!O9="",0,rank(NetScoreForPoints!N9,NetScoreForPoints!N$4:N$110,1)))</f>
        <v>0</v>
      </c>
      <c r="O9" s="33">
        <f>If(Actuals!$A9=1,0, IF(Actuals!P9="",0,rank(NetScoreForPoints!O9,NetScoreForPoints!O$4:O$110,1)))</f>
        <v>0</v>
      </c>
      <c r="P9" s="33">
        <f>If(Actuals!$A9=1,0, IF(Actuals!Q9="",0,rank(NetScoreForPoints!P9,NetScoreForPoints!P$4:P$110,1)))</f>
        <v>0</v>
      </c>
      <c r="Q9" s="33">
        <f>If(Actuals!$A9=1,0, IF(Actuals!R9="",0,rank(NetScoreForPoints!Q9,NetScoreForPoints!Q$4:Q$110,1)))</f>
        <v>0</v>
      </c>
      <c r="R9" s="20">
        <f t="shared" si="4"/>
        <v>0</v>
      </c>
      <c r="S9" s="20">
        <f t="shared" si="1"/>
        <v>0</v>
      </c>
      <c r="T9" s="20">
        <f t="shared" si="2"/>
        <v>0</v>
      </c>
      <c r="U9" s="20">
        <f t="shared" si="3"/>
        <v>1</v>
      </c>
    </row>
    <row r="10">
      <c r="A10" s="26" t="str">
        <f>Actuals!B10</f>
        <v>Cole L</v>
      </c>
      <c r="B10" s="33">
        <f>If(Actuals!$A10=1,0, IF(Actuals!C10="",0,rank(NetScoreForPoints!B10,NetScoreForPoints!B$4:B$110,1)))</f>
        <v>0</v>
      </c>
      <c r="C10" s="33">
        <f>If(Actuals!$A10=1,0, IF(Actuals!D10="",0,rank(NetScoreForPoints!C10,NetScoreForPoints!C$4:C$110,1)))</f>
        <v>0</v>
      </c>
      <c r="D10" s="33">
        <f>If(Actuals!$A10=1,0, IF(Actuals!E10="",0,rank(NetScoreForPoints!D10,NetScoreForPoints!D$4:D$110,1)))</f>
        <v>0</v>
      </c>
      <c r="E10" s="33">
        <f>If(Actuals!$A10=1,0, IF(Actuals!F10="",0,rank(NetScoreForPoints!E10,NetScoreForPoints!E$4:E$110,1)))</f>
        <v>0</v>
      </c>
      <c r="F10" s="33">
        <f>If(Actuals!$A10=1,0, IF(Actuals!G10="",0,rank(NetScoreForPoints!F10,NetScoreForPoints!F$4:F$110,1)))</f>
        <v>0</v>
      </c>
      <c r="G10" s="33">
        <f>If(Actuals!$A10=1,0, IF(Actuals!H10="",0,rank(NetScoreForPoints!G10,NetScoreForPoints!G$4:G$110,1)))</f>
        <v>0</v>
      </c>
      <c r="H10" s="33">
        <f>If(Actuals!$A10=1,0, IF(Actuals!I10="",0,rank(NetScoreForPoints!H10,NetScoreForPoints!H$4:H$110,1)))</f>
        <v>0</v>
      </c>
      <c r="I10" s="33">
        <f>If(Actuals!$A10=1,0, IF(Actuals!J10="",0,rank(NetScoreForPoints!I10,NetScoreForPoints!I$4:I$110,1)))</f>
        <v>0</v>
      </c>
      <c r="J10" s="33">
        <f>If(Actuals!$A10=1,0, IF(Actuals!K10="",0,rank(NetScoreForPoints!J10,NetScoreForPoints!J$4:J$110,1)))</f>
        <v>0</v>
      </c>
      <c r="K10" s="33">
        <f>If(Actuals!$A10=1,0, IF(Actuals!L10="",0,rank(NetScoreForPoints!K10,NetScoreForPoints!K$4:K$110,1)))</f>
        <v>0</v>
      </c>
      <c r="L10" s="33">
        <f>If(Actuals!$A10=1,0, IF(Actuals!M10="",0,rank(NetScoreForPoints!L10,NetScoreForPoints!L$4:L$110,1)))</f>
        <v>0</v>
      </c>
      <c r="M10" s="33">
        <f>If(Actuals!$A10=1,0, IF(Actuals!N10="",0,rank(NetScoreForPoints!M10,NetScoreForPoints!M$4:M$110,1)))</f>
        <v>0</v>
      </c>
      <c r="N10" s="33">
        <f>If(Actuals!$A10=1,0, IF(Actuals!O10="",0,rank(NetScoreForPoints!N10,NetScoreForPoints!N$4:N$110,1)))</f>
        <v>0</v>
      </c>
      <c r="O10" s="33">
        <f>If(Actuals!$A10=1,0, IF(Actuals!P10="",0,rank(NetScoreForPoints!O10,NetScoreForPoints!O$4:O$110,1)))</f>
        <v>0</v>
      </c>
      <c r="P10" s="33">
        <f>If(Actuals!$A10=1,0, IF(Actuals!Q10="",0,rank(NetScoreForPoints!P10,NetScoreForPoints!P$4:P$110,1)))</f>
        <v>0</v>
      </c>
      <c r="Q10" s="33">
        <f>If(Actuals!$A10=1,0, IF(Actuals!R10="",0,rank(NetScoreForPoints!Q10,NetScoreForPoints!Q$4:Q$110,1)))</f>
        <v>0</v>
      </c>
      <c r="R10" s="20">
        <f t="shared" si="4"/>
        <v>0</v>
      </c>
      <c r="S10" s="20">
        <f t="shared" si="1"/>
        <v>0</v>
      </c>
      <c r="T10" s="20">
        <f t="shared" si="2"/>
        <v>0</v>
      </c>
      <c r="U10" s="20">
        <f t="shared" si="3"/>
        <v>0</v>
      </c>
    </row>
    <row r="11">
      <c r="A11" s="26" t="str">
        <f>Actuals!B11</f>
        <v>Danny C</v>
      </c>
      <c r="B11" s="33">
        <f>If(Actuals!$A11=1,0, IF(Actuals!C11="",0,rank(NetScoreForPoints!B11,NetScoreForPoints!B$4:B$110,1)))</f>
        <v>0</v>
      </c>
      <c r="C11" s="33">
        <f>If(Actuals!$A11=1,0, IF(Actuals!D11="",0,rank(NetScoreForPoints!C11,NetScoreForPoints!C$4:C$110,1)))</f>
        <v>0</v>
      </c>
      <c r="D11" s="33">
        <f>If(Actuals!$A11=1,0, IF(Actuals!E11="",0,rank(NetScoreForPoints!D11,NetScoreForPoints!D$4:D$110,1)))</f>
        <v>0</v>
      </c>
      <c r="E11" s="33">
        <f>If(Actuals!$A11=1,0, IF(Actuals!F11="",0,rank(NetScoreForPoints!E11,NetScoreForPoints!E$4:E$110,1)))</f>
        <v>0</v>
      </c>
      <c r="F11" s="33">
        <f>If(Actuals!$A11=1,0, IF(Actuals!G11="",0,rank(NetScoreForPoints!F11,NetScoreForPoints!F$4:F$110,1)))</f>
        <v>0</v>
      </c>
      <c r="G11" s="33">
        <f>If(Actuals!$A11=1,0, IF(Actuals!H11="",0,rank(NetScoreForPoints!G11,NetScoreForPoints!G$4:G$110,1)))</f>
        <v>0</v>
      </c>
      <c r="H11" s="33">
        <f>If(Actuals!$A11=1,0, IF(Actuals!I11="",0,rank(NetScoreForPoints!H11,NetScoreForPoints!H$4:H$110,1)))</f>
        <v>0</v>
      </c>
      <c r="I11" s="33">
        <f>If(Actuals!$A11=1,0, IF(Actuals!J11="",0,rank(NetScoreForPoints!I11,NetScoreForPoints!I$4:I$110,1)))</f>
        <v>0</v>
      </c>
      <c r="J11" s="33">
        <f>If(Actuals!$A11=1,0, IF(Actuals!K11="",0,rank(NetScoreForPoints!J11,NetScoreForPoints!J$4:J$110,1)))</f>
        <v>0</v>
      </c>
      <c r="K11" s="33">
        <f>If(Actuals!$A11=1,0, IF(Actuals!L11="",0,rank(NetScoreForPoints!K11,NetScoreForPoints!K$4:K$110,1)))</f>
        <v>0</v>
      </c>
      <c r="L11" s="33">
        <f>If(Actuals!$A11=1,0, IF(Actuals!M11="",0,rank(NetScoreForPoints!L11,NetScoreForPoints!L$4:L$110,1)))</f>
        <v>0</v>
      </c>
      <c r="M11" s="33">
        <f>If(Actuals!$A11=1,0, IF(Actuals!N11="",0,rank(NetScoreForPoints!M11,NetScoreForPoints!M$4:M$110,1)))</f>
        <v>0</v>
      </c>
      <c r="N11" s="33">
        <f>If(Actuals!$A11=1,0, IF(Actuals!O11="",0,rank(NetScoreForPoints!N11,NetScoreForPoints!N$4:N$110,1)))</f>
        <v>0</v>
      </c>
      <c r="O11" s="33">
        <f>If(Actuals!$A11=1,0, IF(Actuals!P11="",0,rank(NetScoreForPoints!O11,NetScoreForPoints!O$4:O$110,1)))</f>
        <v>0</v>
      </c>
      <c r="P11" s="33">
        <f>If(Actuals!$A11=1,0, IF(Actuals!Q11="",0,rank(NetScoreForPoints!P11,NetScoreForPoints!P$4:P$110,1)))</f>
        <v>0</v>
      </c>
      <c r="Q11" s="33">
        <f>If(Actuals!$A11=1,0, IF(Actuals!R11="",0,rank(NetScoreForPoints!Q11,NetScoreForPoints!Q$4:Q$110,1)))</f>
        <v>0</v>
      </c>
      <c r="R11" s="20">
        <f t="shared" si="4"/>
        <v>0</v>
      </c>
      <c r="S11" s="20">
        <f t="shared" si="1"/>
        <v>0</v>
      </c>
      <c r="T11" s="20">
        <f t="shared" si="2"/>
        <v>0</v>
      </c>
      <c r="U11" s="20">
        <f t="shared" si="3"/>
        <v>0</v>
      </c>
    </row>
    <row r="12">
      <c r="A12" s="26" t="str">
        <f>Actuals!B12</f>
        <v>Eddie G</v>
      </c>
      <c r="B12" s="33">
        <f>If(Actuals!$A12=1,0, IF(Actuals!C12="",0,rank(NetScoreForPoints!B12,NetScoreForPoints!B$4:B$110,1)))</f>
        <v>0</v>
      </c>
      <c r="C12" s="33">
        <f>If(Actuals!$A12=1,0, IF(Actuals!D12="",0,rank(NetScoreForPoints!C12,NetScoreForPoints!C$4:C$110,1)))</f>
        <v>0</v>
      </c>
      <c r="D12" s="33">
        <f>If(Actuals!$A12=1,0, IF(Actuals!E12="",0,rank(NetScoreForPoints!D12,NetScoreForPoints!D$4:D$110,1)))</f>
        <v>0</v>
      </c>
      <c r="E12" s="33">
        <f>If(Actuals!$A12=1,0, IF(Actuals!F12="",0,rank(NetScoreForPoints!E12,NetScoreForPoints!E$4:E$110,1)))</f>
        <v>0</v>
      </c>
      <c r="F12" s="33">
        <f>If(Actuals!$A12=1,0, IF(Actuals!G12="",0,rank(NetScoreForPoints!F12,NetScoreForPoints!F$4:F$110,1)))</f>
        <v>0</v>
      </c>
      <c r="G12" s="33">
        <f>If(Actuals!$A12=1,0, IF(Actuals!H12="",0,rank(NetScoreForPoints!G12,NetScoreForPoints!G$4:G$110,1)))</f>
        <v>0</v>
      </c>
      <c r="H12" s="33">
        <f>If(Actuals!$A12=1,0, IF(Actuals!I12="",0,rank(NetScoreForPoints!H12,NetScoreForPoints!H$4:H$110,1)))</f>
        <v>0</v>
      </c>
      <c r="I12" s="33">
        <f>If(Actuals!$A12=1,0, IF(Actuals!J12="",0,rank(NetScoreForPoints!I12,NetScoreForPoints!I$4:I$110,1)))</f>
        <v>0</v>
      </c>
      <c r="J12" s="33">
        <f>If(Actuals!$A12=1,0, IF(Actuals!K12="",0,rank(NetScoreForPoints!J12,NetScoreForPoints!J$4:J$110,1)))</f>
        <v>0</v>
      </c>
      <c r="K12" s="33">
        <f>If(Actuals!$A12=1,0, IF(Actuals!L12="",0,rank(NetScoreForPoints!K12,NetScoreForPoints!K$4:K$110,1)))</f>
        <v>0</v>
      </c>
      <c r="L12" s="33">
        <f>If(Actuals!$A12=1,0, IF(Actuals!M12="",0,rank(NetScoreForPoints!L12,NetScoreForPoints!L$4:L$110,1)))</f>
        <v>0</v>
      </c>
      <c r="M12" s="33">
        <f>If(Actuals!$A12=1,0, IF(Actuals!N12="",0,rank(NetScoreForPoints!M12,NetScoreForPoints!M$4:M$110,1)))</f>
        <v>0</v>
      </c>
      <c r="N12" s="33">
        <f>If(Actuals!$A12=1,0, IF(Actuals!O12="",0,rank(NetScoreForPoints!N12,NetScoreForPoints!N$4:N$110,1)))</f>
        <v>0</v>
      </c>
      <c r="O12" s="33">
        <f>If(Actuals!$A12=1,0, IF(Actuals!P12="",0,rank(NetScoreForPoints!O12,NetScoreForPoints!O$4:O$110,1)))</f>
        <v>0</v>
      </c>
      <c r="P12" s="33">
        <f>If(Actuals!$A12=1,0, IF(Actuals!Q12="",0,rank(NetScoreForPoints!P12,NetScoreForPoints!P$4:P$110,1)))</f>
        <v>0</v>
      </c>
      <c r="Q12" s="33">
        <f>If(Actuals!$A12=1,0, IF(Actuals!R12="",0,rank(NetScoreForPoints!Q12,NetScoreForPoints!Q$4:Q$110,1)))</f>
        <v>0</v>
      </c>
      <c r="R12" s="20">
        <f t="shared" si="4"/>
        <v>0</v>
      </c>
      <c r="S12" s="20">
        <f t="shared" si="1"/>
        <v>0</v>
      </c>
      <c r="T12" s="20">
        <f t="shared" si="2"/>
        <v>0</v>
      </c>
      <c r="U12" s="20">
        <f t="shared" si="3"/>
        <v>0</v>
      </c>
    </row>
    <row r="13">
      <c r="A13" s="26" t="str">
        <f>Actuals!B13</f>
        <v>Grant G</v>
      </c>
      <c r="B13" s="33">
        <f>If(Actuals!$A13=1,0, IF(Actuals!C13="",0,rank(NetScoreForPoints!B13,NetScoreForPoints!B$4:B$110,1)))</f>
        <v>0</v>
      </c>
      <c r="C13" s="33">
        <f>If(Actuals!$A13=1,0, IF(Actuals!D13="",0,rank(NetScoreForPoints!C13,NetScoreForPoints!C$4:C$110,1)))</f>
        <v>0</v>
      </c>
      <c r="D13" s="33">
        <f>If(Actuals!$A13=1,0, IF(Actuals!E13="",0,rank(NetScoreForPoints!D13,NetScoreForPoints!D$4:D$110,1)))</f>
        <v>0</v>
      </c>
      <c r="E13" s="33">
        <f>If(Actuals!$A13=1,0, IF(Actuals!F13="",0,rank(NetScoreForPoints!E13,NetScoreForPoints!E$4:E$110,1)))</f>
        <v>0</v>
      </c>
      <c r="F13" s="33">
        <f>If(Actuals!$A13=1,0, IF(Actuals!G13="",0,rank(NetScoreForPoints!F13,NetScoreForPoints!F$4:F$110,1)))</f>
        <v>0</v>
      </c>
      <c r="G13" s="33">
        <f>If(Actuals!$A13=1,0, IF(Actuals!H13="",0,rank(NetScoreForPoints!G13,NetScoreForPoints!G$4:G$110,1)))</f>
        <v>0</v>
      </c>
      <c r="H13" s="33">
        <f>If(Actuals!$A13=1,0, IF(Actuals!I13="",0,rank(NetScoreForPoints!H13,NetScoreForPoints!H$4:H$110,1)))</f>
        <v>0</v>
      </c>
      <c r="I13" s="33">
        <f>If(Actuals!$A13=1,0, IF(Actuals!J13="",0,rank(NetScoreForPoints!I13,NetScoreForPoints!I$4:I$110,1)))</f>
        <v>0</v>
      </c>
      <c r="J13" s="33">
        <f>If(Actuals!$A13=1,0, IF(Actuals!K13="",0,rank(NetScoreForPoints!J13,NetScoreForPoints!J$4:J$110,1)))</f>
        <v>0</v>
      </c>
      <c r="K13" s="33">
        <f>If(Actuals!$A13=1,0, IF(Actuals!L13="",0,rank(NetScoreForPoints!K13,NetScoreForPoints!K$4:K$110,1)))</f>
        <v>0</v>
      </c>
      <c r="L13" s="33">
        <f>If(Actuals!$A13=1,0, IF(Actuals!M13="",0,rank(NetScoreForPoints!L13,NetScoreForPoints!L$4:L$110,1)))</f>
        <v>0</v>
      </c>
      <c r="M13" s="33">
        <f>If(Actuals!$A13=1,0, IF(Actuals!N13="",0,rank(NetScoreForPoints!M13,NetScoreForPoints!M$4:M$110,1)))</f>
        <v>0</v>
      </c>
      <c r="N13" s="33">
        <f>If(Actuals!$A13=1,0, IF(Actuals!O13="",0,rank(NetScoreForPoints!N13,NetScoreForPoints!N$4:N$110,1)))</f>
        <v>0</v>
      </c>
      <c r="O13" s="33">
        <f>If(Actuals!$A13=1,0, IF(Actuals!P13="",0,rank(NetScoreForPoints!O13,NetScoreForPoints!O$4:O$110,1)))</f>
        <v>0</v>
      </c>
      <c r="P13" s="33">
        <f>If(Actuals!$A13=1,0, IF(Actuals!Q13="",0,rank(NetScoreForPoints!P13,NetScoreForPoints!P$4:P$110,1)))</f>
        <v>0</v>
      </c>
      <c r="Q13" s="33">
        <f>If(Actuals!$A13=1,0, IF(Actuals!R13="",0,rank(NetScoreForPoints!Q13,NetScoreForPoints!Q$4:Q$110,1)))</f>
        <v>0</v>
      </c>
      <c r="R13" s="20">
        <f t="shared" si="4"/>
        <v>0</v>
      </c>
      <c r="S13" s="20">
        <f t="shared" si="1"/>
        <v>0</v>
      </c>
      <c r="T13" s="20">
        <f t="shared" si="2"/>
        <v>0</v>
      </c>
      <c r="U13" s="20">
        <f t="shared" si="3"/>
        <v>0</v>
      </c>
    </row>
    <row r="14">
      <c r="A14" s="26" t="str">
        <f>Actuals!B14</f>
        <v>Jeff H</v>
      </c>
      <c r="B14" s="33">
        <f>If(Actuals!$A14=1,0, IF(Actuals!C14="",0,rank(NetScoreForPoints!B14,NetScoreForPoints!B$4:B$110,1)))</f>
        <v>0</v>
      </c>
      <c r="C14" s="33">
        <f>If(Actuals!$A14=1,0, IF(Actuals!D14="",0,rank(NetScoreForPoints!C14,NetScoreForPoints!C$4:C$110,1)))</f>
        <v>0</v>
      </c>
      <c r="D14" s="33">
        <f>If(Actuals!$A14=1,0, IF(Actuals!E14="",0,rank(NetScoreForPoints!D14,NetScoreForPoints!D$4:D$110,1)))</f>
        <v>0</v>
      </c>
      <c r="E14" s="33">
        <f>If(Actuals!$A14=1,0, IF(Actuals!F14="",0,rank(NetScoreForPoints!E14,NetScoreForPoints!E$4:E$110,1)))</f>
        <v>0</v>
      </c>
      <c r="F14" s="33">
        <f>If(Actuals!$A14=1,0, IF(Actuals!G14="",0,rank(NetScoreForPoints!F14,NetScoreForPoints!F$4:F$110,1)))</f>
        <v>0</v>
      </c>
      <c r="G14" s="33">
        <f>If(Actuals!$A14=1,0, IF(Actuals!H14="",0,rank(NetScoreForPoints!G14,NetScoreForPoints!G$4:G$110,1)))</f>
        <v>0</v>
      </c>
      <c r="H14" s="33">
        <f>If(Actuals!$A14=1,0, IF(Actuals!I14="",0,rank(NetScoreForPoints!H14,NetScoreForPoints!H$4:H$110,1)))</f>
        <v>0</v>
      </c>
      <c r="I14" s="33">
        <f>If(Actuals!$A14=1,0, IF(Actuals!J14="",0,rank(NetScoreForPoints!I14,NetScoreForPoints!I$4:I$110,1)))</f>
        <v>0</v>
      </c>
      <c r="J14" s="33">
        <f>If(Actuals!$A14=1,0, IF(Actuals!K14="",0,rank(NetScoreForPoints!J14,NetScoreForPoints!J$4:J$110,1)))</f>
        <v>0</v>
      </c>
      <c r="K14" s="33">
        <f>If(Actuals!$A14=1,0, IF(Actuals!L14="",0,rank(NetScoreForPoints!K14,NetScoreForPoints!K$4:K$110,1)))</f>
        <v>0</v>
      </c>
      <c r="L14" s="33">
        <f>If(Actuals!$A14=1,0, IF(Actuals!M14="",0,rank(NetScoreForPoints!L14,NetScoreForPoints!L$4:L$110,1)))</f>
        <v>0</v>
      </c>
      <c r="M14" s="33">
        <f>If(Actuals!$A14=1,0, IF(Actuals!N14="",0,rank(NetScoreForPoints!M14,NetScoreForPoints!M$4:M$110,1)))</f>
        <v>0</v>
      </c>
      <c r="N14" s="33">
        <f>If(Actuals!$A14=1,0, IF(Actuals!O14="",0,rank(NetScoreForPoints!N14,NetScoreForPoints!N$4:N$110,1)))</f>
        <v>0</v>
      </c>
      <c r="O14" s="33">
        <f>If(Actuals!$A14=1,0, IF(Actuals!P14="",0,rank(NetScoreForPoints!O14,NetScoreForPoints!O$4:O$110,1)))</f>
        <v>0</v>
      </c>
      <c r="P14" s="33">
        <f>If(Actuals!$A14=1,0, IF(Actuals!Q14="",0,rank(NetScoreForPoints!P14,NetScoreForPoints!P$4:P$110,1)))</f>
        <v>0</v>
      </c>
      <c r="Q14" s="33">
        <f>If(Actuals!$A14=1,0, IF(Actuals!R14="",0,rank(NetScoreForPoints!Q14,NetScoreForPoints!Q$4:Q$110,1)))</f>
        <v>0</v>
      </c>
      <c r="R14" s="20">
        <f t="shared" si="4"/>
        <v>0</v>
      </c>
      <c r="S14" s="20">
        <f t="shared" si="1"/>
        <v>0</v>
      </c>
      <c r="T14" s="20">
        <f t="shared" si="2"/>
        <v>0</v>
      </c>
      <c r="U14" s="20">
        <f t="shared" si="3"/>
        <v>0</v>
      </c>
    </row>
    <row r="15">
      <c r="A15" s="26" t="str">
        <f>Actuals!B15</f>
        <v>Jenna T</v>
      </c>
      <c r="B15" s="33">
        <f>If(Actuals!$A15=1,0, IF(Actuals!C15="",0,rank(NetScoreForPoints!B15,NetScoreForPoints!B$4:B$110,1)))</f>
        <v>0</v>
      </c>
      <c r="C15" s="33">
        <f>If(Actuals!$A15=1,0, IF(Actuals!D15="",0,rank(NetScoreForPoints!C15,NetScoreForPoints!C$4:C$110,1)))</f>
        <v>0</v>
      </c>
      <c r="D15" s="33">
        <f>If(Actuals!$A15=1,0, IF(Actuals!E15="",0,rank(NetScoreForPoints!D15,NetScoreForPoints!D$4:D$110,1)))</f>
        <v>0</v>
      </c>
      <c r="E15" s="33">
        <f>If(Actuals!$A15=1,0, IF(Actuals!F15="",0,rank(NetScoreForPoints!E15,NetScoreForPoints!E$4:E$110,1)))</f>
        <v>0</v>
      </c>
      <c r="F15" s="33">
        <f>If(Actuals!$A15=1,0, IF(Actuals!G15="",0,rank(NetScoreForPoints!F15,NetScoreForPoints!F$4:F$110,1)))</f>
        <v>0</v>
      </c>
      <c r="G15" s="33">
        <f>If(Actuals!$A15=1,0, IF(Actuals!H15="",0,rank(NetScoreForPoints!G15,NetScoreForPoints!G$4:G$110,1)))</f>
        <v>0</v>
      </c>
      <c r="H15" s="33">
        <f>If(Actuals!$A15=1,0, IF(Actuals!I15="",0,rank(NetScoreForPoints!H15,NetScoreForPoints!H$4:H$110,1)))</f>
        <v>0</v>
      </c>
      <c r="I15" s="33">
        <f>If(Actuals!$A15=1,0, IF(Actuals!J15="",0,rank(NetScoreForPoints!I15,NetScoreForPoints!I$4:I$110,1)))</f>
        <v>0</v>
      </c>
      <c r="J15" s="33">
        <f>If(Actuals!$A15=1,0, IF(Actuals!K15="",0,rank(NetScoreForPoints!J15,NetScoreForPoints!J$4:J$110,1)))</f>
        <v>0</v>
      </c>
      <c r="K15" s="33">
        <f>If(Actuals!$A15=1,0, IF(Actuals!L15="",0,rank(NetScoreForPoints!K15,NetScoreForPoints!K$4:K$110,1)))</f>
        <v>0</v>
      </c>
      <c r="L15" s="33">
        <f>If(Actuals!$A15=1,0, IF(Actuals!M15="",0,rank(NetScoreForPoints!L15,NetScoreForPoints!L$4:L$110,1)))</f>
        <v>0</v>
      </c>
      <c r="M15" s="33">
        <f>If(Actuals!$A15=1,0, IF(Actuals!N15="",0,rank(NetScoreForPoints!M15,NetScoreForPoints!M$4:M$110,1)))</f>
        <v>0</v>
      </c>
      <c r="N15" s="33">
        <f>If(Actuals!$A15=1,0, IF(Actuals!O15="",0,rank(NetScoreForPoints!N15,NetScoreForPoints!N$4:N$110,1)))</f>
        <v>0</v>
      </c>
      <c r="O15" s="33">
        <f>If(Actuals!$A15=1,0, IF(Actuals!P15="",0,rank(NetScoreForPoints!O15,NetScoreForPoints!O$4:O$110,1)))</f>
        <v>0</v>
      </c>
      <c r="P15" s="33">
        <f>If(Actuals!$A15=1,0, IF(Actuals!Q15="",0,rank(NetScoreForPoints!P15,NetScoreForPoints!P$4:P$110,1)))</f>
        <v>0</v>
      </c>
      <c r="Q15" s="33">
        <f>If(Actuals!$A15=1,0, IF(Actuals!R15="",0,rank(NetScoreForPoints!Q15,NetScoreForPoints!Q$4:Q$110,1)))</f>
        <v>0</v>
      </c>
      <c r="R15" s="20">
        <f t="shared" si="4"/>
        <v>0</v>
      </c>
      <c r="S15" s="20">
        <f t="shared" si="1"/>
        <v>0</v>
      </c>
      <c r="T15" s="20">
        <f t="shared" si="2"/>
        <v>0</v>
      </c>
      <c r="U15" s="20">
        <f t="shared" si="3"/>
        <v>0</v>
      </c>
    </row>
    <row r="16">
      <c r="A16" s="26" t="str">
        <f>Actuals!B16</f>
        <v>Jeremy H</v>
      </c>
      <c r="B16" s="33">
        <f>If(Actuals!$A16=1,0, IF(Actuals!C16="",0,rank(NetScoreForPoints!B16,NetScoreForPoints!B$4:B$110,1)))</f>
        <v>0</v>
      </c>
      <c r="C16" s="33">
        <f>If(Actuals!$A16=1,0, IF(Actuals!D16="",0,rank(NetScoreForPoints!C16,NetScoreForPoints!C$4:C$110,1)))</f>
        <v>0</v>
      </c>
      <c r="D16" s="33">
        <f>If(Actuals!$A16=1,0, IF(Actuals!E16="",0,rank(NetScoreForPoints!D16,NetScoreForPoints!D$4:D$110,1)))</f>
        <v>0</v>
      </c>
      <c r="E16" s="33">
        <f>If(Actuals!$A16=1,0, IF(Actuals!F16="",0,rank(NetScoreForPoints!E16,NetScoreForPoints!E$4:E$110,1)))</f>
        <v>0</v>
      </c>
      <c r="F16" s="33">
        <f>If(Actuals!$A16=1,0, IF(Actuals!G16="",0,rank(NetScoreForPoints!F16,NetScoreForPoints!F$4:F$110,1)))</f>
        <v>0</v>
      </c>
      <c r="G16" s="33">
        <f>If(Actuals!$A16=1,0, IF(Actuals!H16="",0,rank(NetScoreForPoints!G16,NetScoreForPoints!G$4:G$110,1)))</f>
        <v>0</v>
      </c>
      <c r="H16" s="33">
        <f>If(Actuals!$A16=1,0, IF(Actuals!I16="",0,rank(NetScoreForPoints!H16,NetScoreForPoints!H$4:H$110,1)))</f>
        <v>0</v>
      </c>
      <c r="I16" s="33">
        <f>If(Actuals!$A16=1,0, IF(Actuals!J16="",0,rank(NetScoreForPoints!I16,NetScoreForPoints!I$4:I$110,1)))</f>
        <v>0</v>
      </c>
      <c r="J16" s="33">
        <f>If(Actuals!$A16=1,0, IF(Actuals!K16="",0,rank(NetScoreForPoints!J16,NetScoreForPoints!J$4:J$110,1)))</f>
        <v>0</v>
      </c>
      <c r="K16" s="33">
        <f>If(Actuals!$A16=1,0, IF(Actuals!L16="",0,rank(NetScoreForPoints!K16,NetScoreForPoints!K$4:K$110,1)))</f>
        <v>0</v>
      </c>
      <c r="L16" s="33">
        <f>If(Actuals!$A16=1,0, IF(Actuals!M16="",0,rank(NetScoreForPoints!L16,NetScoreForPoints!L$4:L$110,1)))</f>
        <v>0</v>
      </c>
      <c r="M16" s="33">
        <f>If(Actuals!$A16=1,0, IF(Actuals!N16="",0,rank(NetScoreForPoints!M16,NetScoreForPoints!M$4:M$110,1)))</f>
        <v>0</v>
      </c>
      <c r="N16" s="33">
        <f>If(Actuals!$A16=1,0, IF(Actuals!O16="",0,rank(NetScoreForPoints!N16,NetScoreForPoints!N$4:N$110,1)))</f>
        <v>0</v>
      </c>
      <c r="O16" s="33">
        <f>If(Actuals!$A16=1,0, IF(Actuals!P16="",0,rank(NetScoreForPoints!O16,NetScoreForPoints!O$4:O$110,1)))</f>
        <v>0</v>
      </c>
      <c r="P16" s="33">
        <f>If(Actuals!$A16=1,0, IF(Actuals!Q16="",0,rank(NetScoreForPoints!P16,NetScoreForPoints!P$4:P$110,1)))</f>
        <v>0</v>
      </c>
      <c r="Q16" s="33">
        <f>If(Actuals!$A16=1,0, IF(Actuals!R16="",0,rank(NetScoreForPoints!Q16,NetScoreForPoints!Q$4:Q$110,1)))</f>
        <v>0</v>
      </c>
      <c r="R16" s="20">
        <f t="shared" si="4"/>
        <v>0</v>
      </c>
      <c r="S16" s="20">
        <f t="shared" si="1"/>
        <v>0</v>
      </c>
      <c r="T16" s="20">
        <f t="shared" si="2"/>
        <v>0</v>
      </c>
      <c r="U16" s="20">
        <f t="shared" si="3"/>
        <v>0</v>
      </c>
    </row>
    <row r="17">
      <c r="A17" s="26" t="str">
        <f>Actuals!B17</f>
        <v>Jeremy S</v>
      </c>
      <c r="B17" s="33">
        <f>If(Actuals!$A17=1,0, IF(Actuals!C17="",0,rank(NetScoreForPoints!B17,NetScoreForPoints!B$4:B$110,1)))</f>
        <v>0</v>
      </c>
      <c r="C17" s="33">
        <f>If(Actuals!$A17=1,0, IF(Actuals!D17="",0,rank(NetScoreForPoints!C17,NetScoreForPoints!C$4:C$110,1)))</f>
        <v>0</v>
      </c>
      <c r="D17" s="33">
        <f>If(Actuals!$A17=1,0, IF(Actuals!E17="",0,rank(NetScoreForPoints!D17,NetScoreForPoints!D$4:D$110,1)))</f>
        <v>0</v>
      </c>
      <c r="E17" s="33">
        <f>If(Actuals!$A17=1,0, IF(Actuals!F17="",0,rank(NetScoreForPoints!E17,NetScoreForPoints!E$4:E$110,1)))</f>
        <v>0</v>
      </c>
      <c r="F17" s="33">
        <f>If(Actuals!$A17=1,0, IF(Actuals!G17="",0,rank(NetScoreForPoints!F17,NetScoreForPoints!F$4:F$110,1)))</f>
        <v>0</v>
      </c>
      <c r="G17" s="33">
        <f>If(Actuals!$A17=1,0, IF(Actuals!H17="",0,rank(NetScoreForPoints!G17,NetScoreForPoints!G$4:G$110,1)))</f>
        <v>0</v>
      </c>
      <c r="H17" s="33">
        <f>If(Actuals!$A17=1,0, IF(Actuals!I17="",0,rank(NetScoreForPoints!H17,NetScoreForPoints!H$4:H$110,1)))</f>
        <v>0</v>
      </c>
      <c r="I17" s="33">
        <f>If(Actuals!$A17=1,0, IF(Actuals!J17="",0,rank(NetScoreForPoints!I17,NetScoreForPoints!I$4:I$110,1)))</f>
        <v>0</v>
      </c>
      <c r="J17" s="33">
        <f>If(Actuals!$A17=1,0, IF(Actuals!K17="",0,rank(NetScoreForPoints!J17,NetScoreForPoints!J$4:J$110,1)))</f>
        <v>0</v>
      </c>
      <c r="K17" s="33">
        <f>If(Actuals!$A17=1,0, IF(Actuals!L17="",0,rank(NetScoreForPoints!K17,NetScoreForPoints!K$4:K$110,1)))</f>
        <v>0</v>
      </c>
      <c r="L17" s="33">
        <f>If(Actuals!$A17=1,0, IF(Actuals!M17="",0,rank(NetScoreForPoints!L17,NetScoreForPoints!L$4:L$110,1)))</f>
        <v>0</v>
      </c>
      <c r="M17" s="33">
        <f>If(Actuals!$A17=1,0, IF(Actuals!N17="",0,rank(NetScoreForPoints!M17,NetScoreForPoints!M$4:M$110,1)))</f>
        <v>0</v>
      </c>
      <c r="N17" s="33">
        <f>If(Actuals!$A17=1,0, IF(Actuals!O17="",0,rank(NetScoreForPoints!N17,NetScoreForPoints!N$4:N$110,1)))</f>
        <v>0</v>
      </c>
      <c r="O17" s="33">
        <f>If(Actuals!$A17=1,0, IF(Actuals!P17="",0,rank(NetScoreForPoints!O17,NetScoreForPoints!O$4:O$110,1)))</f>
        <v>0</v>
      </c>
      <c r="P17" s="33">
        <f>If(Actuals!$A17=1,0, IF(Actuals!Q17="",0,rank(NetScoreForPoints!P17,NetScoreForPoints!P$4:P$110,1)))</f>
        <v>0</v>
      </c>
      <c r="Q17" s="33">
        <f>If(Actuals!$A17=1,0, IF(Actuals!R17="",0,rank(NetScoreForPoints!Q17,NetScoreForPoints!Q$4:Q$110,1)))</f>
        <v>0</v>
      </c>
      <c r="R17" s="20">
        <f t="shared" si="4"/>
        <v>0</v>
      </c>
      <c r="S17" s="20">
        <f t="shared" si="1"/>
        <v>0</v>
      </c>
      <c r="T17" s="20">
        <f t="shared" si="2"/>
        <v>0</v>
      </c>
      <c r="U17" s="20">
        <f t="shared" si="3"/>
        <v>0</v>
      </c>
    </row>
    <row r="18">
      <c r="A18" s="26" t="str">
        <f>Actuals!B18</f>
        <v>Jon L</v>
      </c>
      <c r="B18" s="33">
        <f>If(Actuals!$A18=1,0, IF(Actuals!C18="",0,rank(NetScoreForPoints!B18,NetScoreForPoints!B$4:B$110,1)))</f>
        <v>12</v>
      </c>
      <c r="C18" s="33">
        <f>If(Actuals!$A18=1,0, IF(Actuals!D18="",0,rank(NetScoreForPoints!C18,NetScoreForPoints!C$4:C$110,1)))</f>
        <v>3</v>
      </c>
      <c r="D18" s="33">
        <f>If(Actuals!$A18=1,0, IF(Actuals!E18="",0,rank(NetScoreForPoints!D18,NetScoreForPoints!D$4:D$110,1)))</f>
        <v>8</v>
      </c>
      <c r="E18" s="33">
        <f>If(Actuals!$A18=1,0, IF(Actuals!F18="",0,rank(NetScoreForPoints!E18,NetScoreForPoints!E$4:E$110,1)))</f>
        <v>0</v>
      </c>
      <c r="F18" s="33">
        <f>If(Actuals!$A18=1,0, IF(Actuals!G18="",0,rank(NetScoreForPoints!F18,NetScoreForPoints!F$4:F$110,1)))</f>
        <v>0</v>
      </c>
      <c r="G18" s="33">
        <f>If(Actuals!$A18=1,0, IF(Actuals!H18="",0,rank(NetScoreForPoints!G18,NetScoreForPoints!G$4:G$110,1)))</f>
        <v>0</v>
      </c>
      <c r="H18" s="33">
        <f>If(Actuals!$A18=1,0, IF(Actuals!I18="",0,rank(NetScoreForPoints!H18,NetScoreForPoints!H$4:H$110,1)))</f>
        <v>0</v>
      </c>
      <c r="I18" s="33">
        <f>If(Actuals!$A18=1,0, IF(Actuals!J18="",0,rank(NetScoreForPoints!I18,NetScoreForPoints!I$4:I$110,1)))</f>
        <v>0</v>
      </c>
      <c r="J18" s="33">
        <f>If(Actuals!$A18=1,0, IF(Actuals!K18="",0,rank(NetScoreForPoints!J18,NetScoreForPoints!J$4:J$110,1)))</f>
        <v>0</v>
      </c>
      <c r="K18" s="33">
        <f>If(Actuals!$A18=1,0, IF(Actuals!L18="",0,rank(NetScoreForPoints!K18,NetScoreForPoints!K$4:K$110,1)))</f>
        <v>0</v>
      </c>
      <c r="L18" s="33">
        <f>If(Actuals!$A18=1,0, IF(Actuals!M18="",0,rank(NetScoreForPoints!L18,NetScoreForPoints!L$4:L$110,1)))</f>
        <v>0</v>
      </c>
      <c r="M18" s="33">
        <f>If(Actuals!$A18=1,0, IF(Actuals!N18="",0,rank(NetScoreForPoints!M18,NetScoreForPoints!M$4:M$110,1)))</f>
        <v>0</v>
      </c>
      <c r="N18" s="33">
        <f>If(Actuals!$A18=1,0, IF(Actuals!O18="",0,rank(NetScoreForPoints!N18,NetScoreForPoints!N$4:N$110,1)))</f>
        <v>0</v>
      </c>
      <c r="O18" s="33">
        <f>If(Actuals!$A18=1,0, IF(Actuals!P18="",0,rank(NetScoreForPoints!O18,NetScoreForPoints!O$4:O$110,1)))</f>
        <v>0</v>
      </c>
      <c r="P18" s="33">
        <f>If(Actuals!$A18=1,0, IF(Actuals!Q18="",0,rank(NetScoreForPoints!P18,NetScoreForPoints!P$4:P$110,1)))</f>
        <v>0</v>
      </c>
      <c r="Q18" s="33">
        <f>If(Actuals!$A18=1,0, IF(Actuals!R18="",0,rank(NetScoreForPoints!Q18,NetScoreForPoints!Q$4:Q$110,1)))</f>
        <v>0</v>
      </c>
      <c r="R18" s="20">
        <f t="shared" si="4"/>
        <v>0</v>
      </c>
      <c r="S18" s="20">
        <f t="shared" si="1"/>
        <v>1</v>
      </c>
      <c r="T18" s="20">
        <f t="shared" si="2"/>
        <v>1</v>
      </c>
      <c r="U18" s="20">
        <f t="shared" si="3"/>
        <v>3</v>
      </c>
    </row>
    <row r="19">
      <c r="A19" s="26" t="str">
        <f>Actuals!B19</f>
        <v>Jonah R</v>
      </c>
      <c r="B19" s="33">
        <f>If(Actuals!$A19=1,0, IF(Actuals!C19="",0,rank(NetScoreForPoints!B19,NetScoreForPoints!B$4:B$110,1)))</f>
        <v>0</v>
      </c>
      <c r="C19" s="33">
        <f>If(Actuals!$A19=1,0, IF(Actuals!D19="",0,rank(NetScoreForPoints!C19,NetScoreForPoints!C$4:C$110,1)))</f>
        <v>5</v>
      </c>
      <c r="D19" s="33">
        <f>If(Actuals!$A19=1,0, IF(Actuals!E19="",0,rank(NetScoreForPoints!D19,NetScoreForPoints!D$4:D$110,1)))</f>
        <v>0</v>
      </c>
      <c r="E19" s="33">
        <f>If(Actuals!$A19=1,0, IF(Actuals!F19="",0,rank(NetScoreForPoints!E19,NetScoreForPoints!E$4:E$110,1)))</f>
        <v>0</v>
      </c>
      <c r="F19" s="33">
        <f>If(Actuals!$A19=1,0, IF(Actuals!G19="",0,rank(NetScoreForPoints!F19,NetScoreForPoints!F$4:F$110,1)))</f>
        <v>0</v>
      </c>
      <c r="G19" s="33">
        <f>If(Actuals!$A19=1,0, IF(Actuals!H19="",0,rank(NetScoreForPoints!G19,NetScoreForPoints!G$4:G$110,1)))</f>
        <v>0</v>
      </c>
      <c r="H19" s="33">
        <f>If(Actuals!$A19=1,0, IF(Actuals!I19="",0,rank(NetScoreForPoints!H19,NetScoreForPoints!H$4:H$110,1)))</f>
        <v>0</v>
      </c>
      <c r="I19" s="33">
        <f>If(Actuals!$A19=1,0, IF(Actuals!J19="",0,rank(NetScoreForPoints!I19,NetScoreForPoints!I$4:I$110,1)))</f>
        <v>0</v>
      </c>
      <c r="J19" s="33">
        <f>If(Actuals!$A19=1,0, IF(Actuals!K19="",0,rank(NetScoreForPoints!J19,NetScoreForPoints!J$4:J$110,1)))</f>
        <v>0</v>
      </c>
      <c r="K19" s="33">
        <f>If(Actuals!$A19=1,0, IF(Actuals!L19="",0,rank(NetScoreForPoints!K19,NetScoreForPoints!K$4:K$110,1)))</f>
        <v>0</v>
      </c>
      <c r="L19" s="33">
        <f>If(Actuals!$A19=1,0, IF(Actuals!M19="",0,rank(NetScoreForPoints!L19,NetScoreForPoints!L$4:L$110,1)))</f>
        <v>0</v>
      </c>
      <c r="M19" s="33">
        <f>If(Actuals!$A19=1,0, IF(Actuals!N19="",0,rank(NetScoreForPoints!M19,NetScoreForPoints!M$4:M$110,1)))</f>
        <v>0</v>
      </c>
      <c r="N19" s="33">
        <f>If(Actuals!$A19=1,0, IF(Actuals!O19="",0,rank(NetScoreForPoints!N19,NetScoreForPoints!N$4:N$110,1)))</f>
        <v>0</v>
      </c>
      <c r="O19" s="33">
        <f>If(Actuals!$A19=1,0, IF(Actuals!P19="",0,rank(NetScoreForPoints!O19,NetScoreForPoints!O$4:O$110,1)))</f>
        <v>0</v>
      </c>
      <c r="P19" s="33">
        <f>If(Actuals!$A19=1,0, IF(Actuals!Q19="",0,rank(NetScoreForPoints!P19,NetScoreForPoints!P$4:P$110,1)))</f>
        <v>0</v>
      </c>
      <c r="Q19" s="33">
        <f>If(Actuals!$A19=1,0, IF(Actuals!R19="",0,rank(NetScoreForPoints!Q19,NetScoreForPoints!Q$4:Q$110,1)))</f>
        <v>0</v>
      </c>
      <c r="R19" s="20">
        <f t="shared" si="4"/>
        <v>0</v>
      </c>
      <c r="S19" s="20">
        <f t="shared" si="1"/>
        <v>0</v>
      </c>
      <c r="T19" s="20">
        <f t="shared" si="2"/>
        <v>1</v>
      </c>
      <c r="U19" s="20">
        <f t="shared" si="3"/>
        <v>1</v>
      </c>
    </row>
    <row r="20">
      <c r="A20" s="26" t="str">
        <f>Actuals!B20</f>
        <v>Jordan V</v>
      </c>
      <c r="B20" s="33">
        <f>If(Actuals!$A20=1,0, IF(Actuals!C20="",0,rank(NetScoreForPoints!B20,NetScoreForPoints!B$4:B$110,1)))</f>
        <v>0</v>
      </c>
      <c r="C20" s="33">
        <f>If(Actuals!$A20=1,0, IF(Actuals!D20="",0,rank(NetScoreForPoints!C20,NetScoreForPoints!C$4:C$110,1)))</f>
        <v>0</v>
      </c>
      <c r="D20" s="33">
        <f>If(Actuals!$A20=1,0, IF(Actuals!E20="",0,rank(NetScoreForPoints!D20,NetScoreForPoints!D$4:D$110,1)))</f>
        <v>0</v>
      </c>
      <c r="E20" s="33">
        <f>If(Actuals!$A20=1,0, IF(Actuals!F20="",0,rank(NetScoreForPoints!E20,NetScoreForPoints!E$4:E$110,1)))</f>
        <v>0</v>
      </c>
      <c r="F20" s="33">
        <f>If(Actuals!$A20=1,0, IF(Actuals!G20="",0,rank(NetScoreForPoints!F20,NetScoreForPoints!F$4:F$110,1)))</f>
        <v>0</v>
      </c>
      <c r="G20" s="33">
        <f>If(Actuals!$A20=1,0, IF(Actuals!H20="",0,rank(NetScoreForPoints!G20,NetScoreForPoints!G$4:G$110,1)))</f>
        <v>0</v>
      </c>
      <c r="H20" s="33">
        <f>If(Actuals!$A20=1,0, IF(Actuals!I20="",0,rank(NetScoreForPoints!H20,NetScoreForPoints!H$4:H$110,1)))</f>
        <v>0</v>
      </c>
      <c r="I20" s="33">
        <f>If(Actuals!$A20=1,0, IF(Actuals!J20="",0,rank(NetScoreForPoints!I20,NetScoreForPoints!I$4:I$110,1)))</f>
        <v>0</v>
      </c>
      <c r="J20" s="33">
        <f>If(Actuals!$A20=1,0, IF(Actuals!K20="",0,rank(NetScoreForPoints!J20,NetScoreForPoints!J$4:J$110,1)))</f>
        <v>0</v>
      </c>
      <c r="K20" s="33">
        <f>If(Actuals!$A20=1,0, IF(Actuals!L20="",0,rank(NetScoreForPoints!K20,NetScoreForPoints!K$4:K$110,1)))</f>
        <v>0</v>
      </c>
      <c r="L20" s="33">
        <f>If(Actuals!$A20=1,0, IF(Actuals!M20="",0,rank(NetScoreForPoints!L20,NetScoreForPoints!L$4:L$110,1)))</f>
        <v>0</v>
      </c>
      <c r="M20" s="33">
        <f>If(Actuals!$A20=1,0, IF(Actuals!N20="",0,rank(NetScoreForPoints!M20,NetScoreForPoints!M$4:M$110,1)))</f>
        <v>0</v>
      </c>
      <c r="N20" s="33">
        <f>If(Actuals!$A20=1,0, IF(Actuals!O20="",0,rank(NetScoreForPoints!N20,NetScoreForPoints!N$4:N$110,1)))</f>
        <v>0</v>
      </c>
      <c r="O20" s="33">
        <f>If(Actuals!$A20=1,0, IF(Actuals!P20="",0,rank(NetScoreForPoints!O20,NetScoreForPoints!O$4:O$110,1)))</f>
        <v>0</v>
      </c>
      <c r="P20" s="33">
        <f>If(Actuals!$A20=1,0, IF(Actuals!Q20="",0,rank(NetScoreForPoints!P20,NetScoreForPoints!P$4:P$110,1)))</f>
        <v>0</v>
      </c>
      <c r="Q20" s="33">
        <f>If(Actuals!$A20=1,0, IF(Actuals!R20="",0,rank(NetScoreForPoints!Q20,NetScoreForPoints!Q$4:Q$110,1)))</f>
        <v>0</v>
      </c>
      <c r="R20" s="20">
        <f t="shared" si="4"/>
        <v>0</v>
      </c>
      <c r="S20" s="20">
        <f t="shared" si="1"/>
        <v>0</v>
      </c>
      <c r="T20" s="20">
        <f t="shared" si="2"/>
        <v>0</v>
      </c>
      <c r="U20" s="20">
        <f t="shared" si="3"/>
        <v>0</v>
      </c>
    </row>
    <row r="21">
      <c r="A21" s="26" t="str">
        <f>Actuals!B21</f>
        <v>Kyle N</v>
      </c>
      <c r="B21" s="33">
        <f>If(Actuals!$A21=1,0, IF(Actuals!C21="",0,rank(NetScoreForPoints!B21,NetScoreForPoints!B$4:B$110,1)))</f>
        <v>0</v>
      </c>
      <c r="C21" s="33">
        <f>If(Actuals!$A21=1,0, IF(Actuals!D21="",0,rank(NetScoreForPoints!C21,NetScoreForPoints!C$4:C$110,1)))</f>
        <v>0</v>
      </c>
      <c r="D21" s="33">
        <f>If(Actuals!$A21=1,0, IF(Actuals!E21="",0,rank(NetScoreForPoints!D21,NetScoreForPoints!D$4:D$110,1)))</f>
        <v>0</v>
      </c>
      <c r="E21" s="33">
        <f>If(Actuals!$A21=1,0, IF(Actuals!F21="",0,rank(NetScoreForPoints!E21,NetScoreForPoints!E$4:E$110,1)))</f>
        <v>0</v>
      </c>
      <c r="F21" s="33">
        <f>If(Actuals!$A21=1,0, IF(Actuals!G21="",0,rank(NetScoreForPoints!F21,NetScoreForPoints!F$4:F$110,1)))</f>
        <v>0</v>
      </c>
      <c r="G21" s="33">
        <f>If(Actuals!$A21=1,0, IF(Actuals!H21="",0,rank(NetScoreForPoints!G21,NetScoreForPoints!G$4:G$110,1)))</f>
        <v>0</v>
      </c>
      <c r="H21" s="33">
        <f>If(Actuals!$A21=1,0, IF(Actuals!I21="",0,rank(NetScoreForPoints!H21,NetScoreForPoints!H$4:H$110,1)))</f>
        <v>0</v>
      </c>
      <c r="I21" s="33">
        <f>If(Actuals!$A21=1,0, IF(Actuals!J21="",0,rank(NetScoreForPoints!I21,NetScoreForPoints!I$4:I$110,1)))</f>
        <v>0</v>
      </c>
      <c r="J21" s="33">
        <f>If(Actuals!$A21=1,0, IF(Actuals!K21="",0,rank(NetScoreForPoints!J21,NetScoreForPoints!J$4:J$110,1)))</f>
        <v>0</v>
      </c>
      <c r="K21" s="33">
        <f>If(Actuals!$A21=1,0, IF(Actuals!L21="",0,rank(NetScoreForPoints!K21,NetScoreForPoints!K$4:K$110,1)))</f>
        <v>0</v>
      </c>
      <c r="L21" s="33">
        <f>If(Actuals!$A21=1,0, IF(Actuals!M21="",0,rank(NetScoreForPoints!L21,NetScoreForPoints!L$4:L$110,1)))</f>
        <v>0</v>
      </c>
      <c r="M21" s="33">
        <f>If(Actuals!$A21=1,0, IF(Actuals!N21="",0,rank(NetScoreForPoints!M21,NetScoreForPoints!M$4:M$110,1)))</f>
        <v>0</v>
      </c>
      <c r="N21" s="33">
        <f>If(Actuals!$A21=1,0, IF(Actuals!O21="",0,rank(NetScoreForPoints!N21,NetScoreForPoints!N$4:N$110,1)))</f>
        <v>0</v>
      </c>
      <c r="O21" s="33">
        <f>If(Actuals!$A21=1,0, IF(Actuals!P21="",0,rank(NetScoreForPoints!O21,NetScoreForPoints!O$4:O$110,1)))</f>
        <v>0</v>
      </c>
      <c r="P21" s="33">
        <f>If(Actuals!$A21=1,0, IF(Actuals!Q21="",0,rank(NetScoreForPoints!P21,NetScoreForPoints!P$4:P$110,1)))</f>
        <v>0</v>
      </c>
      <c r="Q21" s="33">
        <f>If(Actuals!$A21=1,0, IF(Actuals!R21="",0,rank(NetScoreForPoints!Q21,NetScoreForPoints!Q$4:Q$110,1)))</f>
        <v>0</v>
      </c>
      <c r="R21" s="20">
        <f t="shared" si="4"/>
        <v>0</v>
      </c>
      <c r="S21" s="20">
        <f t="shared" si="1"/>
        <v>0</v>
      </c>
      <c r="T21" s="20">
        <f t="shared" si="2"/>
        <v>0</v>
      </c>
      <c r="U21" s="20">
        <f t="shared" si="3"/>
        <v>0</v>
      </c>
    </row>
    <row r="22">
      <c r="A22" s="26" t="str">
        <f>Actuals!B22</f>
        <v>Laura L</v>
      </c>
      <c r="B22" s="33">
        <f>If(Actuals!$A22=1,0, IF(Actuals!C22="",0,rank(NetScoreForPoints!B22,NetScoreForPoints!B$4:B$110,1)))</f>
        <v>0</v>
      </c>
      <c r="C22" s="33">
        <f>If(Actuals!$A22=1,0, IF(Actuals!D22="",0,rank(NetScoreForPoints!C22,NetScoreForPoints!C$4:C$110,1)))</f>
        <v>0</v>
      </c>
      <c r="D22" s="33">
        <f>If(Actuals!$A22=1,0, IF(Actuals!E22="",0,rank(NetScoreForPoints!D22,NetScoreForPoints!D$4:D$110,1)))</f>
        <v>0</v>
      </c>
      <c r="E22" s="33">
        <f>If(Actuals!$A22=1,0, IF(Actuals!F22="",0,rank(NetScoreForPoints!E22,NetScoreForPoints!E$4:E$110,1)))</f>
        <v>0</v>
      </c>
      <c r="F22" s="33">
        <f>If(Actuals!$A22=1,0, IF(Actuals!G22="",0,rank(NetScoreForPoints!F22,NetScoreForPoints!F$4:F$110,1)))</f>
        <v>0</v>
      </c>
      <c r="G22" s="33">
        <f>If(Actuals!$A22=1,0, IF(Actuals!H22="",0,rank(NetScoreForPoints!G22,NetScoreForPoints!G$4:G$110,1)))</f>
        <v>0</v>
      </c>
      <c r="H22" s="33">
        <f>If(Actuals!$A22=1,0, IF(Actuals!I22="",0,rank(NetScoreForPoints!H22,NetScoreForPoints!H$4:H$110,1)))</f>
        <v>0</v>
      </c>
      <c r="I22" s="33">
        <f>If(Actuals!$A22=1,0, IF(Actuals!J22="",0,rank(NetScoreForPoints!I22,NetScoreForPoints!I$4:I$110,1)))</f>
        <v>0</v>
      </c>
      <c r="J22" s="33">
        <f>If(Actuals!$A22=1,0, IF(Actuals!K22="",0,rank(NetScoreForPoints!J22,NetScoreForPoints!J$4:J$110,1)))</f>
        <v>0</v>
      </c>
      <c r="K22" s="33">
        <f>If(Actuals!$A22=1,0, IF(Actuals!L22="",0,rank(NetScoreForPoints!K22,NetScoreForPoints!K$4:K$110,1)))</f>
        <v>0</v>
      </c>
      <c r="L22" s="33">
        <f>If(Actuals!$A22=1,0, IF(Actuals!M22="",0,rank(NetScoreForPoints!L22,NetScoreForPoints!L$4:L$110,1)))</f>
        <v>0</v>
      </c>
      <c r="M22" s="33">
        <f>If(Actuals!$A22=1,0, IF(Actuals!N22="",0,rank(NetScoreForPoints!M22,NetScoreForPoints!M$4:M$110,1)))</f>
        <v>0</v>
      </c>
      <c r="N22" s="33">
        <f>If(Actuals!$A22=1,0, IF(Actuals!O22="",0,rank(NetScoreForPoints!N22,NetScoreForPoints!N$4:N$110,1)))</f>
        <v>0</v>
      </c>
      <c r="O22" s="33">
        <f>If(Actuals!$A22=1,0, IF(Actuals!P22="",0,rank(NetScoreForPoints!O22,NetScoreForPoints!O$4:O$110,1)))</f>
        <v>0</v>
      </c>
      <c r="P22" s="33">
        <f>If(Actuals!$A22=1,0, IF(Actuals!Q22="",0,rank(NetScoreForPoints!P22,NetScoreForPoints!P$4:P$110,1)))</f>
        <v>0</v>
      </c>
      <c r="Q22" s="33">
        <f>If(Actuals!$A22=1,0, IF(Actuals!R22="",0,rank(NetScoreForPoints!Q22,NetScoreForPoints!Q$4:Q$110,1)))</f>
        <v>0</v>
      </c>
      <c r="R22" s="20">
        <f t="shared" si="4"/>
        <v>0</v>
      </c>
      <c r="S22" s="20">
        <f t="shared" si="1"/>
        <v>0</v>
      </c>
      <c r="T22" s="20">
        <f t="shared" si="2"/>
        <v>0</v>
      </c>
      <c r="U22" s="20">
        <f t="shared" si="3"/>
        <v>0</v>
      </c>
    </row>
    <row r="23">
      <c r="A23" s="26" t="str">
        <f>Actuals!B23</f>
        <v>Luke W</v>
      </c>
      <c r="B23" s="33">
        <f>If(Actuals!$A23=1,0, IF(Actuals!C23="",0,rank(NetScoreForPoints!B23,NetScoreForPoints!B$4:B$110,1)))</f>
        <v>0</v>
      </c>
      <c r="C23" s="33">
        <f>If(Actuals!$A23=1,0, IF(Actuals!D23="",0,rank(NetScoreForPoints!C23,NetScoreForPoints!C$4:C$110,1)))</f>
        <v>0</v>
      </c>
      <c r="D23" s="33">
        <f>If(Actuals!$A23=1,0, IF(Actuals!E23="",0,rank(NetScoreForPoints!D23,NetScoreForPoints!D$4:D$110,1)))</f>
        <v>1</v>
      </c>
      <c r="E23" s="33">
        <f>If(Actuals!$A23=1,0, IF(Actuals!F23="",0,rank(NetScoreForPoints!E23,NetScoreForPoints!E$4:E$110,1)))</f>
        <v>0</v>
      </c>
      <c r="F23" s="33">
        <f>If(Actuals!$A23=1,0, IF(Actuals!G23="",0,rank(NetScoreForPoints!F23,NetScoreForPoints!F$4:F$110,1)))</f>
        <v>0</v>
      </c>
      <c r="G23" s="33">
        <f>If(Actuals!$A23=1,0, IF(Actuals!H23="",0,rank(NetScoreForPoints!G23,NetScoreForPoints!G$4:G$110,1)))</f>
        <v>0</v>
      </c>
      <c r="H23" s="33">
        <f>If(Actuals!$A23=1,0, IF(Actuals!I23="",0,rank(NetScoreForPoints!H23,NetScoreForPoints!H$4:H$110,1)))</f>
        <v>0</v>
      </c>
      <c r="I23" s="33">
        <f>If(Actuals!$A23=1,0, IF(Actuals!J23="",0,rank(NetScoreForPoints!I23,NetScoreForPoints!I$4:I$110,1)))</f>
        <v>0</v>
      </c>
      <c r="J23" s="33">
        <f>If(Actuals!$A23=1,0, IF(Actuals!K23="",0,rank(NetScoreForPoints!J23,NetScoreForPoints!J$4:J$110,1)))</f>
        <v>0</v>
      </c>
      <c r="K23" s="33">
        <f>If(Actuals!$A23=1,0, IF(Actuals!L23="",0,rank(NetScoreForPoints!K23,NetScoreForPoints!K$4:K$110,1)))</f>
        <v>0</v>
      </c>
      <c r="L23" s="33">
        <f>If(Actuals!$A23=1,0, IF(Actuals!M23="",0,rank(NetScoreForPoints!L23,NetScoreForPoints!L$4:L$110,1)))</f>
        <v>0</v>
      </c>
      <c r="M23" s="33">
        <f>If(Actuals!$A23=1,0, IF(Actuals!N23="",0,rank(NetScoreForPoints!M23,NetScoreForPoints!M$4:M$110,1)))</f>
        <v>0</v>
      </c>
      <c r="N23" s="33">
        <f>If(Actuals!$A23=1,0, IF(Actuals!O23="",0,rank(NetScoreForPoints!N23,NetScoreForPoints!N$4:N$110,1)))</f>
        <v>0</v>
      </c>
      <c r="O23" s="33">
        <f>If(Actuals!$A23=1,0, IF(Actuals!P23="",0,rank(NetScoreForPoints!O23,NetScoreForPoints!O$4:O$110,1)))</f>
        <v>0</v>
      </c>
      <c r="P23" s="33">
        <f>If(Actuals!$A23=1,0, IF(Actuals!Q23="",0,rank(NetScoreForPoints!P23,NetScoreForPoints!P$4:P$110,1)))</f>
        <v>0</v>
      </c>
      <c r="Q23" s="33">
        <f>If(Actuals!$A23=1,0, IF(Actuals!R23="",0,rank(NetScoreForPoints!Q23,NetScoreForPoints!Q$4:Q$110,1)))</f>
        <v>0</v>
      </c>
      <c r="R23" s="20">
        <f t="shared" si="4"/>
        <v>1</v>
      </c>
      <c r="S23" s="20">
        <f t="shared" si="1"/>
        <v>1</v>
      </c>
      <c r="T23" s="20">
        <f t="shared" si="2"/>
        <v>1</v>
      </c>
      <c r="U23" s="20">
        <f t="shared" si="3"/>
        <v>1</v>
      </c>
    </row>
    <row r="24">
      <c r="A24" s="26" t="str">
        <f>Actuals!B24</f>
        <v>Marc C</v>
      </c>
      <c r="B24" s="33">
        <f>If(Actuals!$A24=1,0, IF(Actuals!C24="",0,rank(NetScoreForPoints!B24,NetScoreForPoints!B$4:B$110,1)))</f>
        <v>1</v>
      </c>
      <c r="C24" s="33">
        <f>If(Actuals!$A24=1,0, IF(Actuals!D24="",0,rank(NetScoreForPoints!C24,NetScoreForPoints!C$4:C$110,1)))</f>
        <v>8</v>
      </c>
      <c r="D24" s="33">
        <f>If(Actuals!$A24=1,0, IF(Actuals!E24="",0,rank(NetScoreForPoints!D24,NetScoreForPoints!D$4:D$110,1)))</f>
        <v>0</v>
      </c>
      <c r="E24" s="33">
        <f>If(Actuals!$A24=1,0, IF(Actuals!F24="",0,rank(NetScoreForPoints!E24,NetScoreForPoints!E$4:E$110,1)))</f>
        <v>0</v>
      </c>
      <c r="F24" s="33">
        <f>If(Actuals!$A24=1,0, IF(Actuals!G24="",0,rank(NetScoreForPoints!F24,NetScoreForPoints!F$4:F$110,1)))</f>
        <v>0</v>
      </c>
      <c r="G24" s="33">
        <f>If(Actuals!$A24=1,0, IF(Actuals!H24="",0,rank(NetScoreForPoints!G24,NetScoreForPoints!G$4:G$110,1)))</f>
        <v>0</v>
      </c>
      <c r="H24" s="33">
        <f>If(Actuals!$A24=1,0, IF(Actuals!I24="",0,rank(NetScoreForPoints!H24,NetScoreForPoints!H$4:H$110,1)))</f>
        <v>0</v>
      </c>
      <c r="I24" s="33">
        <f>If(Actuals!$A24=1,0, IF(Actuals!J24="",0,rank(NetScoreForPoints!I24,NetScoreForPoints!I$4:I$110,1)))</f>
        <v>0</v>
      </c>
      <c r="J24" s="33">
        <f>If(Actuals!$A24=1,0, IF(Actuals!K24="",0,rank(NetScoreForPoints!J24,NetScoreForPoints!J$4:J$110,1)))</f>
        <v>0</v>
      </c>
      <c r="K24" s="33">
        <f>If(Actuals!$A24=1,0, IF(Actuals!L24="",0,rank(NetScoreForPoints!K24,NetScoreForPoints!K$4:K$110,1)))</f>
        <v>0</v>
      </c>
      <c r="L24" s="33">
        <f>If(Actuals!$A24=1,0, IF(Actuals!M24="",0,rank(NetScoreForPoints!L24,NetScoreForPoints!L$4:L$110,1)))</f>
        <v>0</v>
      </c>
      <c r="M24" s="33">
        <f>If(Actuals!$A24=1,0, IF(Actuals!N24="",0,rank(NetScoreForPoints!M24,NetScoreForPoints!M$4:M$110,1)))</f>
        <v>0</v>
      </c>
      <c r="N24" s="33">
        <f>If(Actuals!$A24=1,0, IF(Actuals!O24="",0,rank(NetScoreForPoints!N24,NetScoreForPoints!N$4:N$110,1)))</f>
        <v>0</v>
      </c>
      <c r="O24" s="33">
        <f>If(Actuals!$A24=1,0, IF(Actuals!P24="",0,rank(NetScoreForPoints!O24,NetScoreForPoints!O$4:O$110,1)))</f>
        <v>0</v>
      </c>
      <c r="P24" s="33">
        <f>If(Actuals!$A24=1,0, IF(Actuals!Q24="",0,rank(NetScoreForPoints!P24,NetScoreForPoints!P$4:P$110,1)))</f>
        <v>0</v>
      </c>
      <c r="Q24" s="33">
        <f>If(Actuals!$A24=1,0, IF(Actuals!R24="",0,rank(NetScoreForPoints!Q24,NetScoreForPoints!Q$4:Q$110,1)))</f>
        <v>0</v>
      </c>
      <c r="R24" s="20">
        <f t="shared" si="4"/>
        <v>1</v>
      </c>
      <c r="S24" s="20">
        <f t="shared" si="1"/>
        <v>1</v>
      </c>
      <c r="T24" s="20">
        <f t="shared" si="2"/>
        <v>1</v>
      </c>
      <c r="U24" s="20">
        <f t="shared" si="3"/>
        <v>2</v>
      </c>
    </row>
    <row r="25">
      <c r="A25" s="26" t="str">
        <f>Actuals!B25</f>
        <v>Mark M</v>
      </c>
      <c r="B25" s="33">
        <f>If(Actuals!$A25=1,0, IF(Actuals!C25="",0,rank(NetScoreForPoints!B25,NetScoreForPoints!B$4:B$110,1)))</f>
        <v>7</v>
      </c>
      <c r="C25" s="33">
        <f>If(Actuals!$A25=1,0, IF(Actuals!D25="",0,rank(NetScoreForPoints!C25,NetScoreForPoints!C$4:C$110,1)))</f>
        <v>7</v>
      </c>
      <c r="D25" s="33">
        <f>If(Actuals!$A25=1,0, IF(Actuals!E25="",0,rank(NetScoreForPoints!D25,NetScoreForPoints!D$4:D$110,1)))</f>
        <v>7</v>
      </c>
      <c r="E25" s="33">
        <f>If(Actuals!$A25=1,0, IF(Actuals!F25="",0,rank(NetScoreForPoints!E25,NetScoreForPoints!E$4:E$110,1)))</f>
        <v>0</v>
      </c>
      <c r="F25" s="33">
        <f>If(Actuals!$A25=1,0, IF(Actuals!G25="",0,rank(NetScoreForPoints!F25,NetScoreForPoints!F$4:F$110,1)))</f>
        <v>0</v>
      </c>
      <c r="G25" s="33">
        <f>If(Actuals!$A25=1,0, IF(Actuals!H25="",0,rank(NetScoreForPoints!G25,NetScoreForPoints!G$4:G$110,1)))</f>
        <v>0</v>
      </c>
      <c r="H25" s="33">
        <f>If(Actuals!$A25=1,0, IF(Actuals!I25="",0,rank(NetScoreForPoints!H25,NetScoreForPoints!H$4:H$110,1)))</f>
        <v>0</v>
      </c>
      <c r="I25" s="33">
        <f>If(Actuals!$A25=1,0, IF(Actuals!J25="",0,rank(NetScoreForPoints!I25,NetScoreForPoints!I$4:I$110,1)))</f>
        <v>0</v>
      </c>
      <c r="J25" s="33">
        <f>If(Actuals!$A25=1,0, IF(Actuals!K25="",0,rank(NetScoreForPoints!J25,NetScoreForPoints!J$4:J$110,1)))</f>
        <v>0</v>
      </c>
      <c r="K25" s="33">
        <f>If(Actuals!$A25=1,0, IF(Actuals!L25="",0,rank(NetScoreForPoints!K25,NetScoreForPoints!K$4:K$110,1)))</f>
        <v>0</v>
      </c>
      <c r="L25" s="33">
        <f>If(Actuals!$A25=1,0, IF(Actuals!M25="",0,rank(NetScoreForPoints!L25,NetScoreForPoints!L$4:L$110,1)))</f>
        <v>0</v>
      </c>
      <c r="M25" s="33">
        <f>If(Actuals!$A25=1,0, IF(Actuals!N25="",0,rank(NetScoreForPoints!M25,NetScoreForPoints!M$4:M$110,1)))</f>
        <v>0</v>
      </c>
      <c r="N25" s="33">
        <f>If(Actuals!$A25=1,0, IF(Actuals!O25="",0,rank(NetScoreForPoints!N25,NetScoreForPoints!N$4:N$110,1)))</f>
        <v>0</v>
      </c>
      <c r="O25" s="33">
        <f>If(Actuals!$A25=1,0, IF(Actuals!P25="",0,rank(NetScoreForPoints!O25,NetScoreForPoints!O$4:O$110,1)))</f>
        <v>0</v>
      </c>
      <c r="P25" s="33">
        <f>If(Actuals!$A25=1,0, IF(Actuals!Q25="",0,rank(NetScoreForPoints!P25,NetScoreForPoints!P$4:P$110,1)))</f>
        <v>0</v>
      </c>
      <c r="Q25" s="33">
        <f>If(Actuals!$A25=1,0, IF(Actuals!R25="",0,rank(NetScoreForPoints!Q25,NetScoreForPoints!Q$4:Q$110,1)))</f>
        <v>0</v>
      </c>
      <c r="R25" s="20">
        <f t="shared" si="4"/>
        <v>0</v>
      </c>
      <c r="S25" s="20">
        <f t="shared" si="1"/>
        <v>0</v>
      </c>
      <c r="T25" s="20">
        <f t="shared" si="2"/>
        <v>0</v>
      </c>
      <c r="U25" s="20">
        <f t="shared" si="3"/>
        <v>3</v>
      </c>
    </row>
    <row r="26">
      <c r="A26" s="26" t="str">
        <f>Actuals!B26</f>
        <v>Martin R</v>
      </c>
      <c r="B26" s="33">
        <f>If(Actuals!$A26=1,0, IF(Actuals!C26="",0,rank(NetScoreForPoints!B26,NetScoreForPoints!B$4:B$110,1)))</f>
        <v>0</v>
      </c>
      <c r="C26" s="33">
        <f>If(Actuals!$A26=1,0, IF(Actuals!D26="",0,rank(NetScoreForPoints!C26,NetScoreForPoints!C$4:C$110,1)))</f>
        <v>0</v>
      </c>
      <c r="D26" s="33">
        <f>If(Actuals!$A26=1,0, IF(Actuals!E26="",0,rank(NetScoreForPoints!D26,NetScoreForPoints!D$4:D$110,1)))</f>
        <v>0</v>
      </c>
      <c r="E26" s="33">
        <f>If(Actuals!$A26=1,0, IF(Actuals!F26="",0,rank(NetScoreForPoints!E26,NetScoreForPoints!E$4:E$110,1)))</f>
        <v>0</v>
      </c>
      <c r="F26" s="33">
        <f>If(Actuals!$A26=1,0, IF(Actuals!G26="",0,rank(NetScoreForPoints!F26,NetScoreForPoints!F$4:F$110,1)))</f>
        <v>0</v>
      </c>
      <c r="G26" s="33">
        <f>If(Actuals!$A26=1,0, IF(Actuals!H26="",0,rank(NetScoreForPoints!G26,NetScoreForPoints!G$4:G$110,1)))</f>
        <v>0</v>
      </c>
      <c r="H26" s="33">
        <f>If(Actuals!$A26=1,0, IF(Actuals!I26="",0,rank(NetScoreForPoints!H26,NetScoreForPoints!H$4:H$110,1)))</f>
        <v>0</v>
      </c>
      <c r="I26" s="33">
        <f>If(Actuals!$A26=1,0, IF(Actuals!J26="",0,rank(NetScoreForPoints!I26,NetScoreForPoints!I$4:I$110,1)))</f>
        <v>0</v>
      </c>
      <c r="J26" s="33">
        <f>If(Actuals!$A26=1,0, IF(Actuals!K26="",0,rank(NetScoreForPoints!J26,NetScoreForPoints!J$4:J$110,1)))</f>
        <v>0</v>
      </c>
      <c r="K26" s="33">
        <f>If(Actuals!$A26=1,0, IF(Actuals!L26="",0,rank(NetScoreForPoints!K26,NetScoreForPoints!K$4:K$110,1)))</f>
        <v>0</v>
      </c>
      <c r="L26" s="33">
        <f>If(Actuals!$A26=1,0, IF(Actuals!M26="",0,rank(NetScoreForPoints!L26,NetScoreForPoints!L$4:L$110,1)))</f>
        <v>0</v>
      </c>
      <c r="M26" s="33">
        <f>If(Actuals!$A26=1,0, IF(Actuals!N26="",0,rank(NetScoreForPoints!M26,NetScoreForPoints!M$4:M$110,1)))</f>
        <v>0</v>
      </c>
      <c r="N26" s="33">
        <f>If(Actuals!$A26=1,0, IF(Actuals!O26="",0,rank(NetScoreForPoints!N26,NetScoreForPoints!N$4:N$110,1)))</f>
        <v>0</v>
      </c>
      <c r="O26" s="33">
        <f>If(Actuals!$A26=1,0, IF(Actuals!P26="",0,rank(NetScoreForPoints!O26,NetScoreForPoints!O$4:O$110,1)))</f>
        <v>0</v>
      </c>
      <c r="P26" s="33">
        <f>If(Actuals!$A26=1,0, IF(Actuals!Q26="",0,rank(NetScoreForPoints!P26,NetScoreForPoints!P$4:P$110,1)))</f>
        <v>0</v>
      </c>
      <c r="Q26" s="33">
        <f>If(Actuals!$A26=1,0, IF(Actuals!R26="",0,rank(NetScoreForPoints!Q26,NetScoreForPoints!Q$4:Q$110,1)))</f>
        <v>0</v>
      </c>
      <c r="R26" s="20">
        <f t="shared" si="4"/>
        <v>0</v>
      </c>
      <c r="S26" s="20">
        <f t="shared" si="1"/>
        <v>0</v>
      </c>
      <c r="T26" s="20">
        <f t="shared" si="2"/>
        <v>0</v>
      </c>
      <c r="U26" s="20">
        <f t="shared" si="3"/>
        <v>0</v>
      </c>
    </row>
    <row r="27">
      <c r="A27" s="26" t="str">
        <f>Actuals!B27</f>
        <v>Minji S</v>
      </c>
      <c r="B27" s="33">
        <f>If(Actuals!$A27=1,0, IF(Actuals!C27="",0,rank(NetScoreForPoints!B27,NetScoreForPoints!B$4:B$110,1)))</f>
        <v>0</v>
      </c>
      <c r="C27" s="33">
        <f>If(Actuals!$A27=1,0, IF(Actuals!D27="",0,rank(NetScoreForPoints!C27,NetScoreForPoints!C$4:C$110,1)))</f>
        <v>0</v>
      </c>
      <c r="D27" s="33">
        <f>If(Actuals!$A27=1,0, IF(Actuals!E27="",0,rank(NetScoreForPoints!D27,NetScoreForPoints!D$4:D$110,1)))</f>
        <v>0</v>
      </c>
      <c r="E27" s="33">
        <f>If(Actuals!$A27=1,0, IF(Actuals!F27="",0,rank(NetScoreForPoints!E27,NetScoreForPoints!E$4:E$110,1)))</f>
        <v>0</v>
      </c>
      <c r="F27" s="33">
        <f>If(Actuals!$A27=1,0, IF(Actuals!G27="",0,rank(NetScoreForPoints!F27,NetScoreForPoints!F$4:F$110,1)))</f>
        <v>0</v>
      </c>
      <c r="G27" s="33">
        <f>If(Actuals!$A27=1,0, IF(Actuals!H27="",0,rank(NetScoreForPoints!G27,NetScoreForPoints!G$4:G$110,1)))</f>
        <v>0</v>
      </c>
      <c r="H27" s="33">
        <f>If(Actuals!$A27=1,0, IF(Actuals!I27="",0,rank(NetScoreForPoints!H27,NetScoreForPoints!H$4:H$110,1)))</f>
        <v>0</v>
      </c>
      <c r="I27" s="33">
        <f>If(Actuals!$A27=1,0, IF(Actuals!J27="",0,rank(NetScoreForPoints!I27,NetScoreForPoints!I$4:I$110,1)))</f>
        <v>0</v>
      </c>
      <c r="J27" s="33">
        <f>If(Actuals!$A27=1,0, IF(Actuals!K27="",0,rank(NetScoreForPoints!J27,NetScoreForPoints!J$4:J$110,1)))</f>
        <v>0</v>
      </c>
      <c r="K27" s="33">
        <f>If(Actuals!$A27=1,0, IF(Actuals!L27="",0,rank(NetScoreForPoints!K27,NetScoreForPoints!K$4:K$110,1)))</f>
        <v>0</v>
      </c>
      <c r="L27" s="33">
        <f>If(Actuals!$A27=1,0, IF(Actuals!M27="",0,rank(NetScoreForPoints!L27,NetScoreForPoints!L$4:L$110,1)))</f>
        <v>0</v>
      </c>
      <c r="M27" s="33">
        <f>If(Actuals!$A27=1,0, IF(Actuals!N27="",0,rank(NetScoreForPoints!M27,NetScoreForPoints!M$4:M$110,1)))</f>
        <v>0</v>
      </c>
      <c r="N27" s="33">
        <f>If(Actuals!$A27=1,0, IF(Actuals!O27="",0,rank(NetScoreForPoints!N27,NetScoreForPoints!N$4:N$110,1)))</f>
        <v>0</v>
      </c>
      <c r="O27" s="33">
        <f>If(Actuals!$A27=1,0, IF(Actuals!P27="",0,rank(NetScoreForPoints!O27,NetScoreForPoints!O$4:O$110,1)))</f>
        <v>0</v>
      </c>
      <c r="P27" s="33">
        <f>If(Actuals!$A27=1,0, IF(Actuals!Q27="",0,rank(NetScoreForPoints!P27,NetScoreForPoints!P$4:P$110,1)))</f>
        <v>0</v>
      </c>
      <c r="Q27" s="33">
        <f>If(Actuals!$A27=1,0, IF(Actuals!R27="",0,rank(NetScoreForPoints!Q27,NetScoreForPoints!Q$4:Q$110,1)))</f>
        <v>0</v>
      </c>
      <c r="R27" s="20">
        <f t="shared" si="4"/>
        <v>0</v>
      </c>
      <c r="S27" s="20">
        <f t="shared" si="1"/>
        <v>0</v>
      </c>
      <c r="T27" s="20">
        <f t="shared" si="2"/>
        <v>0</v>
      </c>
      <c r="U27" s="20">
        <f t="shared" si="3"/>
        <v>0</v>
      </c>
    </row>
    <row r="28">
      <c r="A28" s="26" t="str">
        <f>Actuals!B28</f>
        <v>Nate R</v>
      </c>
      <c r="B28" s="33">
        <f>If(Actuals!$A28=1,0, IF(Actuals!C28="",0,rank(NetScoreForPoints!B28,NetScoreForPoints!B$4:B$110,1)))</f>
        <v>11</v>
      </c>
      <c r="C28" s="33">
        <f>If(Actuals!$A28=1,0, IF(Actuals!D28="",0,rank(NetScoreForPoints!C28,NetScoreForPoints!C$4:C$110,1)))</f>
        <v>10</v>
      </c>
      <c r="D28" s="33">
        <f>If(Actuals!$A28=1,0, IF(Actuals!E28="",0,rank(NetScoreForPoints!D28,NetScoreForPoints!D$4:D$110,1)))</f>
        <v>10</v>
      </c>
      <c r="E28" s="33">
        <f>If(Actuals!$A28=1,0, IF(Actuals!F28="",0,rank(NetScoreForPoints!E28,NetScoreForPoints!E$4:E$110,1)))</f>
        <v>0</v>
      </c>
      <c r="F28" s="33">
        <f>If(Actuals!$A28=1,0, IF(Actuals!G28="",0,rank(NetScoreForPoints!F28,NetScoreForPoints!F$4:F$110,1)))</f>
        <v>0</v>
      </c>
      <c r="G28" s="33">
        <f>If(Actuals!$A28=1,0, IF(Actuals!H28="",0,rank(NetScoreForPoints!G28,NetScoreForPoints!G$4:G$110,1)))</f>
        <v>0</v>
      </c>
      <c r="H28" s="33">
        <f>If(Actuals!$A28=1,0, IF(Actuals!I28="",0,rank(NetScoreForPoints!H28,NetScoreForPoints!H$4:H$110,1)))</f>
        <v>0</v>
      </c>
      <c r="I28" s="33">
        <f>If(Actuals!$A28=1,0, IF(Actuals!J28="",0,rank(NetScoreForPoints!I28,NetScoreForPoints!I$4:I$110,1)))</f>
        <v>0</v>
      </c>
      <c r="J28" s="33">
        <f>If(Actuals!$A28=1,0, IF(Actuals!K28="",0,rank(NetScoreForPoints!J28,NetScoreForPoints!J$4:J$110,1)))</f>
        <v>0</v>
      </c>
      <c r="K28" s="33">
        <f>If(Actuals!$A28=1,0, IF(Actuals!L28="",0,rank(NetScoreForPoints!K28,NetScoreForPoints!K$4:K$110,1)))</f>
        <v>0</v>
      </c>
      <c r="L28" s="33">
        <f>If(Actuals!$A28=1,0, IF(Actuals!M28="",0,rank(NetScoreForPoints!L28,NetScoreForPoints!L$4:L$110,1)))</f>
        <v>0</v>
      </c>
      <c r="M28" s="33">
        <f>If(Actuals!$A28=1,0, IF(Actuals!N28="",0,rank(NetScoreForPoints!M28,NetScoreForPoints!M$4:M$110,1)))</f>
        <v>0</v>
      </c>
      <c r="N28" s="33">
        <f>If(Actuals!$A28=1,0, IF(Actuals!O28="",0,rank(NetScoreForPoints!N28,NetScoreForPoints!N$4:N$110,1)))</f>
        <v>0</v>
      </c>
      <c r="O28" s="33">
        <f>If(Actuals!$A28=1,0, IF(Actuals!P28="",0,rank(NetScoreForPoints!O28,NetScoreForPoints!O$4:O$110,1)))</f>
        <v>0</v>
      </c>
      <c r="P28" s="33">
        <f>If(Actuals!$A28=1,0, IF(Actuals!Q28="",0,rank(NetScoreForPoints!P28,NetScoreForPoints!P$4:P$110,1)))</f>
        <v>0</v>
      </c>
      <c r="Q28" s="33">
        <f>If(Actuals!$A28=1,0, IF(Actuals!R28="",0,rank(NetScoreForPoints!Q28,NetScoreForPoints!Q$4:Q$110,1)))</f>
        <v>0</v>
      </c>
      <c r="R28" s="20">
        <f t="shared" si="4"/>
        <v>0</v>
      </c>
      <c r="S28" s="20">
        <f t="shared" si="1"/>
        <v>0</v>
      </c>
      <c r="T28" s="20">
        <f t="shared" si="2"/>
        <v>0</v>
      </c>
      <c r="U28" s="20">
        <f t="shared" si="3"/>
        <v>3</v>
      </c>
    </row>
    <row r="29">
      <c r="A29" s="26" t="str">
        <f>Actuals!B29</f>
        <v>Phil J</v>
      </c>
      <c r="B29" s="33">
        <f>If(Actuals!$A29=1,0, IF(Actuals!C29="",0,rank(NetScoreForPoints!B29,NetScoreForPoints!B$4:B$110,1)))</f>
        <v>0</v>
      </c>
      <c r="C29" s="33">
        <f>If(Actuals!$A29=1,0, IF(Actuals!D29="",0,rank(NetScoreForPoints!C29,NetScoreForPoints!C$4:C$110,1)))</f>
        <v>0</v>
      </c>
      <c r="D29" s="33">
        <f>If(Actuals!$A29=1,0, IF(Actuals!E29="",0,rank(NetScoreForPoints!D29,NetScoreForPoints!D$4:D$110,1)))</f>
        <v>0</v>
      </c>
      <c r="E29" s="33">
        <f>If(Actuals!$A29=1,0, IF(Actuals!F29="",0,rank(NetScoreForPoints!E29,NetScoreForPoints!E$4:E$110,1)))</f>
        <v>0</v>
      </c>
      <c r="F29" s="33">
        <f>If(Actuals!$A29=1,0, IF(Actuals!G29="",0,rank(NetScoreForPoints!F29,NetScoreForPoints!F$4:F$110,1)))</f>
        <v>0</v>
      </c>
      <c r="G29" s="33">
        <f>If(Actuals!$A29=1,0, IF(Actuals!H29="",0,rank(NetScoreForPoints!G29,NetScoreForPoints!G$4:G$110,1)))</f>
        <v>0</v>
      </c>
      <c r="H29" s="33">
        <f>If(Actuals!$A29=1,0, IF(Actuals!I29="",0,rank(NetScoreForPoints!H29,NetScoreForPoints!H$4:H$110,1)))</f>
        <v>0</v>
      </c>
      <c r="I29" s="33">
        <f>If(Actuals!$A29=1,0, IF(Actuals!J29="",0,rank(NetScoreForPoints!I29,NetScoreForPoints!I$4:I$110,1)))</f>
        <v>0</v>
      </c>
      <c r="J29" s="33">
        <f>If(Actuals!$A29=1,0, IF(Actuals!K29="",0,rank(NetScoreForPoints!J29,NetScoreForPoints!J$4:J$110,1)))</f>
        <v>0</v>
      </c>
      <c r="K29" s="33">
        <f>If(Actuals!$A29=1,0, IF(Actuals!L29="",0,rank(NetScoreForPoints!K29,NetScoreForPoints!K$4:K$110,1)))</f>
        <v>0</v>
      </c>
      <c r="L29" s="33">
        <f>If(Actuals!$A29=1,0, IF(Actuals!M29="",0,rank(NetScoreForPoints!L29,NetScoreForPoints!L$4:L$110,1)))</f>
        <v>0</v>
      </c>
      <c r="M29" s="33">
        <f>If(Actuals!$A29=1,0, IF(Actuals!N29="",0,rank(NetScoreForPoints!M29,NetScoreForPoints!M$4:M$110,1)))</f>
        <v>0</v>
      </c>
      <c r="N29" s="33">
        <f>If(Actuals!$A29=1,0, IF(Actuals!O29="",0,rank(NetScoreForPoints!N29,NetScoreForPoints!N$4:N$110,1)))</f>
        <v>0</v>
      </c>
      <c r="O29" s="33">
        <f>If(Actuals!$A29=1,0, IF(Actuals!P29="",0,rank(NetScoreForPoints!O29,NetScoreForPoints!O$4:O$110,1)))</f>
        <v>0</v>
      </c>
      <c r="P29" s="33">
        <f>If(Actuals!$A29=1,0, IF(Actuals!Q29="",0,rank(NetScoreForPoints!P29,NetScoreForPoints!P$4:P$110,1)))</f>
        <v>0</v>
      </c>
      <c r="Q29" s="33">
        <f>If(Actuals!$A29=1,0, IF(Actuals!R29="",0,rank(NetScoreForPoints!Q29,NetScoreForPoints!Q$4:Q$110,1)))</f>
        <v>0</v>
      </c>
      <c r="R29" s="20">
        <f t="shared" si="4"/>
        <v>0</v>
      </c>
      <c r="S29" s="20">
        <f t="shared" si="1"/>
        <v>0</v>
      </c>
      <c r="T29" s="20">
        <f t="shared" si="2"/>
        <v>0</v>
      </c>
      <c r="U29" s="20">
        <f t="shared" si="3"/>
        <v>0</v>
      </c>
    </row>
    <row r="30">
      <c r="A30" s="26" t="str">
        <f>Actuals!B30</f>
        <v>Preston C</v>
      </c>
      <c r="B30" s="33">
        <f>If(Actuals!$A30=1,0, IF(Actuals!C30="",0,rank(NetScoreForPoints!B30,NetScoreForPoints!B$4:B$110,1)))</f>
        <v>4</v>
      </c>
      <c r="C30" s="33">
        <f>If(Actuals!$A30=1,0, IF(Actuals!D30="",0,rank(NetScoreForPoints!C30,NetScoreForPoints!C$4:C$110,1)))</f>
        <v>9</v>
      </c>
      <c r="D30" s="33">
        <f>If(Actuals!$A30=1,0, IF(Actuals!E30="",0,rank(NetScoreForPoints!D30,NetScoreForPoints!D$4:D$110,1)))</f>
        <v>4</v>
      </c>
      <c r="E30" s="33">
        <f>If(Actuals!$A30=1,0, IF(Actuals!F30="",0,rank(NetScoreForPoints!E30,NetScoreForPoints!E$4:E$110,1)))</f>
        <v>0</v>
      </c>
      <c r="F30" s="33">
        <f>If(Actuals!$A30=1,0, IF(Actuals!G30="",0,rank(NetScoreForPoints!F30,NetScoreForPoints!F$4:F$110,1)))</f>
        <v>0</v>
      </c>
      <c r="G30" s="33">
        <f>If(Actuals!$A30=1,0, IF(Actuals!H30="",0,rank(NetScoreForPoints!G30,NetScoreForPoints!G$4:G$110,1)))</f>
        <v>0</v>
      </c>
      <c r="H30" s="33">
        <f>If(Actuals!$A30=1,0, IF(Actuals!I30="",0,rank(NetScoreForPoints!H30,NetScoreForPoints!H$4:H$110,1)))</f>
        <v>0</v>
      </c>
      <c r="I30" s="33">
        <f>If(Actuals!$A30=1,0, IF(Actuals!J30="",0,rank(NetScoreForPoints!I30,NetScoreForPoints!I$4:I$110,1)))</f>
        <v>0</v>
      </c>
      <c r="J30" s="33">
        <f>If(Actuals!$A30=1,0, IF(Actuals!K30="",0,rank(NetScoreForPoints!J30,NetScoreForPoints!J$4:J$110,1)))</f>
        <v>0</v>
      </c>
      <c r="K30" s="33">
        <f>If(Actuals!$A30=1,0, IF(Actuals!L30="",0,rank(NetScoreForPoints!K30,NetScoreForPoints!K$4:K$110,1)))</f>
        <v>0</v>
      </c>
      <c r="L30" s="33">
        <f>If(Actuals!$A30=1,0, IF(Actuals!M30="",0,rank(NetScoreForPoints!L30,NetScoreForPoints!L$4:L$110,1)))</f>
        <v>0</v>
      </c>
      <c r="M30" s="33">
        <f>If(Actuals!$A30=1,0, IF(Actuals!N30="",0,rank(NetScoreForPoints!M30,NetScoreForPoints!M$4:M$110,1)))</f>
        <v>0</v>
      </c>
      <c r="N30" s="33">
        <f>If(Actuals!$A30=1,0, IF(Actuals!O30="",0,rank(NetScoreForPoints!N30,NetScoreForPoints!N$4:N$110,1)))</f>
        <v>0</v>
      </c>
      <c r="O30" s="33">
        <f>If(Actuals!$A30=1,0, IF(Actuals!P30="",0,rank(NetScoreForPoints!O30,NetScoreForPoints!O$4:O$110,1)))</f>
        <v>0</v>
      </c>
      <c r="P30" s="33">
        <f>If(Actuals!$A30=1,0, IF(Actuals!Q30="",0,rank(NetScoreForPoints!P30,NetScoreForPoints!P$4:P$110,1)))</f>
        <v>0</v>
      </c>
      <c r="Q30" s="33">
        <f>If(Actuals!$A30=1,0, IF(Actuals!R30="",0,rank(NetScoreForPoints!Q30,NetScoreForPoints!Q$4:Q$110,1)))</f>
        <v>0</v>
      </c>
      <c r="R30" s="20">
        <f t="shared" si="4"/>
        <v>0</v>
      </c>
      <c r="S30" s="20">
        <f t="shared" si="1"/>
        <v>0</v>
      </c>
      <c r="T30" s="20">
        <f t="shared" si="2"/>
        <v>2</v>
      </c>
      <c r="U30" s="20">
        <f t="shared" si="3"/>
        <v>3</v>
      </c>
    </row>
    <row r="31">
      <c r="A31" s="26" t="str">
        <f>Actuals!B31</f>
        <v>Rich</v>
      </c>
      <c r="B31" s="33">
        <f>If(Actuals!$A31=1,0, IF(Actuals!C31="",0,rank(NetScoreForPoints!B31,NetScoreForPoints!B$4:B$110,1)))</f>
        <v>0</v>
      </c>
      <c r="C31" s="33">
        <f>If(Actuals!$A31=1,0, IF(Actuals!D31="",0,rank(NetScoreForPoints!C31,NetScoreForPoints!C$4:C$110,1)))</f>
        <v>0</v>
      </c>
      <c r="D31" s="33">
        <f>If(Actuals!$A31=1,0, IF(Actuals!E31="",0,rank(NetScoreForPoints!D31,NetScoreForPoints!D$4:D$110,1)))</f>
        <v>3</v>
      </c>
      <c r="E31" s="33">
        <f>If(Actuals!$A31=1,0, IF(Actuals!F31="",0,rank(NetScoreForPoints!E31,NetScoreForPoints!E$4:E$110,1)))</f>
        <v>0</v>
      </c>
      <c r="F31" s="33">
        <f>If(Actuals!$A31=1,0, IF(Actuals!G31="",0,rank(NetScoreForPoints!F31,NetScoreForPoints!F$4:F$110,1)))</f>
        <v>0</v>
      </c>
      <c r="G31" s="33">
        <f>If(Actuals!$A31=1,0, IF(Actuals!H31="",0,rank(NetScoreForPoints!G31,NetScoreForPoints!G$4:G$110,1)))</f>
        <v>0</v>
      </c>
      <c r="H31" s="33">
        <f>If(Actuals!$A31=1,0, IF(Actuals!I31="",0,rank(NetScoreForPoints!H31,NetScoreForPoints!H$4:H$110,1)))</f>
        <v>0</v>
      </c>
      <c r="I31" s="33">
        <f>If(Actuals!$A31=1,0, IF(Actuals!J31="",0,rank(NetScoreForPoints!I31,NetScoreForPoints!I$4:I$110,1)))</f>
        <v>0</v>
      </c>
      <c r="J31" s="33">
        <f>If(Actuals!$A31=1,0, IF(Actuals!K31="",0,rank(NetScoreForPoints!J31,NetScoreForPoints!J$4:J$110,1)))</f>
        <v>0</v>
      </c>
      <c r="K31" s="33">
        <f>If(Actuals!$A31=1,0, IF(Actuals!L31="",0,rank(NetScoreForPoints!K31,NetScoreForPoints!K$4:K$110,1)))</f>
        <v>0</v>
      </c>
      <c r="L31" s="33">
        <f>If(Actuals!$A31=1,0, IF(Actuals!M31="",0,rank(NetScoreForPoints!L31,NetScoreForPoints!L$4:L$110,1)))</f>
        <v>0</v>
      </c>
      <c r="M31" s="33">
        <f>If(Actuals!$A31=1,0, IF(Actuals!N31="",0,rank(NetScoreForPoints!M31,NetScoreForPoints!M$4:M$110,1)))</f>
        <v>0</v>
      </c>
      <c r="N31" s="33">
        <f>If(Actuals!$A31=1,0, IF(Actuals!O31="",0,rank(NetScoreForPoints!N31,NetScoreForPoints!N$4:N$110,1)))</f>
        <v>0</v>
      </c>
      <c r="O31" s="33">
        <f>If(Actuals!$A31=1,0, IF(Actuals!P31="",0,rank(NetScoreForPoints!O31,NetScoreForPoints!O$4:O$110,1)))</f>
        <v>0</v>
      </c>
      <c r="P31" s="33">
        <f>If(Actuals!$A31=1,0, IF(Actuals!Q31="",0,rank(NetScoreForPoints!P31,NetScoreForPoints!P$4:P$110,1)))</f>
        <v>0</v>
      </c>
      <c r="Q31" s="33">
        <f>If(Actuals!$A31=1,0, IF(Actuals!R31="",0,rank(NetScoreForPoints!Q31,NetScoreForPoints!Q$4:Q$110,1)))</f>
        <v>0</v>
      </c>
      <c r="R31" s="20">
        <f t="shared" si="4"/>
        <v>0</v>
      </c>
      <c r="S31" s="20">
        <f t="shared" si="1"/>
        <v>1</v>
      </c>
      <c r="T31" s="20">
        <f t="shared" si="2"/>
        <v>1</v>
      </c>
      <c r="U31" s="20">
        <f t="shared" si="3"/>
        <v>1</v>
      </c>
    </row>
    <row r="32">
      <c r="A32" s="26" t="str">
        <f>Actuals!B32</f>
        <v>Russ B</v>
      </c>
      <c r="B32" s="33">
        <f>If(Actuals!$A32=1,0, IF(Actuals!C32="",0,rank(NetScoreForPoints!B32,NetScoreForPoints!B$4:B$110,1)))</f>
        <v>0</v>
      </c>
      <c r="C32" s="33">
        <f>If(Actuals!$A32=1,0, IF(Actuals!D32="",0,rank(NetScoreForPoints!C32,NetScoreForPoints!C$4:C$110,1)))</f>
        <v>0</v>
      </c>
      <c r="D32" s="33">
        <f>If(Actuals!$A32=1,0, IF(Actuals!E32="",0,rank(NetScoreForPoints!D32,NetScoreForPoints!D$4:D$110,1)))</f>
        <v>0</v>
      </c>
      <c r="E32" s="33">
        <f>If(Actuals!$A32=1,0, IF(Actuals!F32="",0,rank(NetScoreForPoints!E32,NetScoreForPoints!E$4:E$110,1)))</f>
        <v>0</v>
      </c>
      <c r="F32" s="33">
        <f>If(Actuals!$A32=1,0, IF(Actuals!G32="",0,rank(NetScoreForPoints!F32,NetScoreForPoints!F$4:F$110,1)))</f>
        <v>0</v>
      </c>
      <c r="G32" s="33">
        <f>If(Actuals!$A32=1,0, IF(Actuals!H32="",0,rank(NetScoreForPoints!G32,NetScoreForPoints!G$4:G$110,1)))</f>
        <v>0</v>
      </c>
      <c r="H32" s="33">
        <f>If(Actuals!$A32=1,0, IF(Actuals!I32="",0,rank(NetScoreForPoints!H32,NetScoreForPoints!H$4:H$110,1)))</f>
        <v>0</v>
      </c>
      <c r="I32" s="33">
        <f>If(Actuals!$A32=1,0, IF(Actuals!J32="",0,rank(NetScoreForPoints!I32,NetScoreForPoints!I$4:I$110,1)))</f>
        <v>0</v>
      </c>
      <c r="J32" s="33">
        <f>If(Actuals!$A32=1,0, IF(Actuals!K32="",0,rank(NetScoreForPoints!J32,NetScoreForPoints!J$4:J$110,1)))</f>
        <v>0</v>
      </c>
      <c r="K32" s="33">
        <f>If(Actuals!$A32=1,0, IF(Actuals!L32="",0,rank(NetScoreForPoints!K32,NetScoreForPoints!K$4:K$110,1)))</f>
        <v>0</v>
      </c>
      <c r="L32" s="33">
        <f>If(Actuals!$A32=1,0, IF(Actuals!M32="",0,rank(NetScoreForPoints!L32,NetScoreForPoints!L$4:L$110,1)))</f>
        <v>0</v>
      </c>
      <c r="M32" s="33">
        <f>If(Actuals!$A32=1,0, IF(Actuals!N32="",0,rank(NetScoreForPoints!M32,NetScoreForPoints!M$4:M$110,1)))</f>
        <v>0</v>
      </c>
      <c r="N32" s="33">
        <f>If(Actuals!$A32=1,0, IF(Actuals!O32="",0,rank(NetScoreForPoints!N32,NetScoreForPoints!N$4:N$110,1)))</f>
        <v>0</v>
      </c>
      <c r="O32" s="33">
        <f>If(Actuals!$A32=1,0, IF(Actuals!P32="",0,rank(NetScoreForPoints!O32,NetScoreForPoints!O$4:O$110,1)))</f>
        <v>0</v>
      </c>
      <c r="P32" s="33">
        <f>If(Actuals!$A32=1,0, IF(Actuals!Q32="",0,rank(NetScoreForPoints!P32,NetScoreForPoints!P$4:P$110,1)))</f>
        <v>0</v>
      </c>
      <c r="Q32" s="33">
        <f>If(Actuals!$A32=1,0, IF(Actuals!R32="",0,rank(NetScoreForPoints!Q32,NetScoreForPoints!Q$4:Q$110,1)))</f>
        <v>0</v>
      </c>
      <c r="R32" s="20">
        <f t="shared" si="4"/>
        <v>0</v>
      </c>
      <c r="S32" s="20">
        <f t="shared" si="1"/>
        <v>0</v>
      </c>
      <c r="T32" s="20">
        <f t="shared" si="2"/>
        <v>0</v>
      </c>
      <c r="U32" s="20">
        <f t="shared" si="3"/>
        <v>0</v>
      </c>
    </row>
    <row r="33">
      <c r="A33" s="26" t="str">
        <f>Actuals!B33</f>
        <v>Russ H</v>
      </c>
      <c r="B33" s="33">
        <f>If(Actuals!$A33=1,0, IF(Actuals!C33="",0,rank(NetScoreForPoints!B33,NetScoreForPoints!B$4:B$110,1)))</f>
        <v>0</v>
      </c>
      <c r="C33" s="33">
        <f>If(Actuals!$A33=1,0, IF(Actuals!D33="",0,rank(NetScoreForPoints!C33,NetScoreForPoints!C$4:C$110,1)))</f>
        <v>0</v>
      </c>
      <c r="D33" s="33">
        <f>If(Actuals!$A33=1,0, IF(Actuals!E33="",0,rank(NetScoreForPoints!D33,NetScoreForPoints!D$4:D$110,1)))</f>
        <v>0</v>
      </c>
      <c r="E33" s="33">
        <f>If(Actuals!$A33=1,0, IF(Actuals!F33="",0,rank(NetScoreForPoints!E33,NetScoreForPoints!E$4:E$110,1)))</f>
        <v>0</v>
      </c>
      <c r="F33" s="33">
        <f>If(Actuals!$A33=1,0, IF(Actuals!G33="",0,rank(NetScoreForPoints!F33,NetScoreForPoints!F$4:F$110,1)))</f>
        <v>0</v>
      </c>
      <c r="G33" s="33">
        <f>If(Actuals!$A33=1,0, IF(Actuals!H33="",0,rank(NetScoreForPoints!G33,NetScoreForPoints!G$4:G$110,1)))</f>
        <v>0</v>
      </c>
      <c r="H33" s="33">
        <f>If(Actuals!$A33=1,0, IF(Actuals!I33="",0,rank(NetScoreForPoints!H33,NetScoreForPoints!H$4:H$110,1)))</f>
        <v>0</v>
      </c>
      <c r="I33" s="33">
        <f>If(Actuals!$A33=1,0, IF(Actuals!J33="",0,rank(NetScoreForPoints!I33,NetScoreForPoints!I$4:I$110,1)))</f>
        <v>0</v>
      </c>
      <c r="J33" s="33">
        <f>If(Actuals!$A33=1,0, IF(Actuals!K33="",0,rank(NetScoreForPoints!J33,NetScoreForPoints!J$4:J$110,1)))</f>
        <v>0</v>
      </c>
      <c r="K33" s="33">
        <f>If(Actuals!$A33=1,0, IF(Actuals!L33="",0,rank(NetScoreForPoints!K33,NetScoreForPoints!K$4:K$110,1)))</f>
        <v>0</v>
      </c>
      <c r="L33" s="33">
        <f>If(Actuals!$A33=1,0, IF(Actuals!M33="",0,rank(NetScoreForPoints!L33,NetScoreForPoints!L$4:L$110,1)))</f>
        <v>0</v>
      </c>
      <c r="M33" s="33">
        <f>If(Actuals!$A33=1,0, IF(Actuals!N33="",0,rank(NetScoreForPoints!M33,NetScoreForPoints!M$4:M$110,1)))</f>
        <v>0</v>
      </c>
      <c r="N33" s="33">
        <f>If(Actuals!$A33=1,0, IF(Actuals!O33="",0,rank(NetScoreForPoints!N33,NetScoreForPoints!N$4:N$110,1)))</f>
        <v>0</v>
      </c>
      <c r="O33" s="33">
        <f>If(Actuals!$A33=1,0, IF(Actuals!P33="",0,rank(NetScoreForPoints!O33,NetScoreForPoints!O$4:O$110,1)))</f>
        <v>0</v>
      </c>
      <c r="P33" s="33">
        <f>If(Actuals!$A33=1,0, IF(Actuals!Q33="",0,rank(NetScoreForPoints!P33,NetScoreForPoints!P$4:P$110,1)))</f>
        <v>0</v>
      </c>
      <c r="Q33" s="33">
        <f>If(Actuals!$A33=1,0, IF(Actuals!R33="",0,rank(NetScoreForPoints!Q33,NetScoreForPoints!Q$4:Q$110,1)))</f>
        <v>0</v>
      </c>
      <c r="R33" s="20">
        <f t="shared" si="4"/>
        <v>0</v>
      </c>
      <c r="S33" s="20">
        <f t="shared" si="1"/>
        <v>0</v>
      </c>
      <c r="T33" s="20">
        <f t="shared" si="2"/>
        <v>0</v>
      </c>
      <c r="U33" s="20">
        <f t="shared" si="3"/>
        <v>0</v>
      </c>
    </row>
    <row r="34">
      <c r="A34" s="26" t="str">
        <f>Actuals!B34</f>
        <v>Ryan R</v>
      </c>
      <c r="B34" s="33">
        <f>If(Actuals!$A34=1,0, IF(Actuals!C34="",0,rank(NetScoreForPoints!B34,NetScoreForPoints!B$4:B$110,1)))</f>
        <v>0</v>
      </c>
      <c r="C34" s="33">
        <f>If(Actuals!$A34=1,0, IF(Actuals!D34="",0,rank(NetScoreForPoints!C34,NetScoreForPoints!C$4:C$110,1)))</f>
        <v>0</v>
      </c>
      <c r="D34" s="33">
        <f>If(Actuals!$A34=1,0, IF(Actuals!E34="",0,rank(NetScoreForPoints!D34,NetScoreForPoints!D$4:D$110,1)))</f>
        <v>0</v>
      </c>
      <c r="E34" s="33">
        <f>If(Actuals!$A34=1,0, IF(Actuals!F34="",0,rank(NetScoreForPoints!E34,NetScoreForPoints!E$4:E$110,1)))</f>
        <v>0</v>
      </c>
      <c r="F34" s="33">
        <f>If(Actuals!$A34=1,0, IF(Actuals!G34="",0,rank(NetScoreForPoints!F34,NetScoreForPoints!F$4:F$110,1)))</f>
        <v>0</v>
      </c>
      <c r="G34" s="33">
        <f>If(Actuals!$A34=1,0, IF(Actuals!H34="",0,rank(NetScoreForPoints!G34,NetScoreForPoints!G$4:G$110,1)))</f>
        <v>0</v>
      </c>
      <c r="H34" s="33">
        <f>If(Actuals!$A34=1,0, IF(Actuals!I34="",0,rank(NetScoreForPoints!H34,NetScoreForPoints!H$4:H$110,1)))</f>
        <v>0</v>
      </c>
      <c r="I34" s="33">
        <f>If(Actuals!$A34=1,0, IF(Actuals!J34="",0,rank(NetScoreForPoints!I34,NetScoreForPoints!I$4:I$110,1)))</f>
        <v>0</v>
      </c>
      <c r="J34" s="33">
        <f>If(Actuals!$A34=1,0, IF(Actuals!K34="",0,rank(NetScoreForPoints!J34,NetScoreForPoints!J$4:J$110,1)))</f>
        <v>0</v>
      </c>
      <c r="K34" s="33">
        <f>If(Actuals!$A34=1,0, IF(Actuals!L34="",0,rank(NetScoreForPoints!K34,NetScoreForPoints!K$4:K$110,1)))</f>
        <v>0</v>
      </c>
      <c r="L34" s="33">
        <f>If(Actuals!$A34=1,0, IF(Actuals!M34="",0,rank(NetScoreForPoints!L34,NetScoreForPoints!L$4:L$110,1)))</f>
        <v>0</v>
      </c>
      <c r="M34" s="33">
        <f>If(Actuals!$A34=1,0, IF(Actuals!N34="",0,rank(NetScoreForPoints!M34,NetScoreForPoints!M$4:M$110,1)))</f>
        <v>0</v>
      </c>
      <c r="N34" s="33">
        <f>If(Actuals!$A34=1,0, IF(Actuals!O34="",0,rank(NetScoreForPoints!N34,NetScoreForPoints!N$4:N$110,1)))</f>
        <v>0</v>
      </c>
      <c r="O34" s="33">
        <f>If(Actuals!$A34=1,0, IF(Actuals!P34="",0,rank(NetScoreForPoints!O34,NetScoreForPoints!O$4:O$110,1)))</f>
        <v>0</v>
      </c>
      <c r="P34" s="33">
        <f>If(Actuals!$A34=1,0, IF(Actuals!Q34="",0,rank(NetScoreForPoints!P34,NetScoreForPoints!P$4:P$110,1)))</f>
        <v>0</v>
      </c>
      <c r="Q34" s="33">
        <f>If(Actuals!$A34=1,0, IF(Actuals!R34="",0,rank(NetScoreForPoints!Q34,NetScoreForPoints!Q$4:Q$110,1)))</f>
        <v>0</v>
      </c>
      <c r="R34" s="20">
        <f t="shared" si="4"/>
        <v>0</v>
      </c>
      <c r="S34" s="20">
        <f t="shared" si="1"/>
        <v>0</v>
      </c>
      <c r="T34" s="20">
        <f t="shared" si="2"/>
        <v>0</v>
      </c>
      <c r="U34" s="20">
        <f t="shared" si="3"/>
        <v>0</v>
      </c>
    </row>
    <row r="35">
      <c r="A35" s="26" t="str">
        <f>Actuals!B35</f>
        <v>Scott M</v>
      </c>
      <c r="B35" s="33">
        <f>If(Actuals!$A35=1,0, IF(Actuals!C35="",0,rank(NetScoreForPoints!B35,NetScoreForPoints!B$4:B$110,1)))</f>
        <v>0</v>
      </c>
      <c r="C35" s="33">
        <f>If(Actuals!$A35=1,0, IF(Actuals!D35="",0,rank(NetScoreForPoints!C35,NetScoreForPoints!C$4:C$110,1)))</f>
        <v>0</v>
      </c>
      <c r="D35" s="33">
        <f>If(Actuals!$A35=1,0, IF(Actuals!E35="",0,rank(NetScoreForPoints!D35,NetScoreForPoints!D$4:D$110,1)))</f>
        <v>0</v>
      </c>
      <c r="E35" s="33">
        <f>If(Actuals!$A35=1,0, IF(Actuals!F35="",0,rank(NetScoreForPoints!E35,NetScoreForPoints!E$4:E$110,1)))</f>
        <v>0</v>
      </c>
      <c r="F35" s="33">
        <f>If(Actuals!$A35=1,0, IF(Actuals!G35="",0,rank(NetScoreForPoints!F35,NetScoreForPoints!F$4:F$110,1)))</f>
        <v>0</v>
      </c>
      <c r="G35" s="33">
        <f>If(Actuals!$A35=1,0, IF(Actuals!H35="",0,rank(NetScoreForPoints!G35,NetScoreForPoints!G$4:G$110,1)))</f>
        <v>0</v>
      </c>
      <c r="H35" s="33">
        <f>If(Actuals!$A35=1,0, IF(Actuals!I35="",0,rank(NetScoreForPoints!H35,NetScoreForPoints!H$4:H$110,1)))</f>
        <v>0</v>
      </c>
      <c r="I35" s="33">
        <f>If(Actuals!$A35=1,0, IF(Actuals!J35="",0,rank(NetScoreForPoints!I35,NetScoreForPoints!I$4:I$110,1)))</f>
        <v>0</v>
      </c>
      <c r="J35" s="33">
        <f>If(Actuals!$A35=1,0, IF(Actuals!K35="",0,rank(NetScoreForPoints!J35,NetScoreForPoints!J$4:J$110,1)))</f>
        <v>0</v>
      </c>
      <c r="K35" s="33">
        <f>If(Actuals!$A35=1,0, IF(Actuals!L35="",0,rank(NetScoreForPoints!K35,NetScoreForPoints!K$4:K$110,1)))</f>
        <v>0</v>
      </c>
      <c r="L35" s="33">
        <f>If(Actuals!$A35=1,0, IF(Actuals!M35="",0,rank(NetScoreForPoints!L35,NetScoreForPoints!L$4:L$110,1)))</f>
        <v>0</v>
      </c>
      <c r="M35" s="33">
        <f>If(Actuals!$A35=1,0, IF(Actuals!N35="",0,rank(NetScoreForPoints!M35,NetScoreForPoints!M$4:M$110,1)))</f>
        <v>0</v>
      </c>
      <c r="N35" s="33">
        <f>If(Actuals!$A35=1,0, IF(Actuals!O35="",0,rank(NetScoreForPoints!N35,NetScoreForPoints!N$4:N$110,1)))</f>
        <v>0</v>
      </c>
      <c r="O35" s="33">
        <f>If(Actuals!$A35=1,0, IF(Actuals!P35="",0,rank(NetScoreForPoints!O35,NetScoreForPoints!O$4:O$110,1)))</f>
        <v>0</v>
      </c>
      <c r="P35" s="33">
        <f>If(Actuals!$A35=1,0, IF(Actuals!Q35="",0,rank(NetScoreForPoints!P35,NetScoreForPoints!P$4:P$110,1)))</f>
        <v>0</v>
      </c>
      <c r="Q35" s="33">
        <f>If(Actuals!$A35=1,0, IF(Actuals!R35="",0,rank(NetScoreForPoints!Q35,NetScoreForPoints!Q$4:Q$110,1)))</f>
        <v>0</v>
      </c>
      <c r="R35" s="20">
        <f t="shared" si="4"/>
        <v>0</v>
      </c>
      <c r="S35" s="20">
        <f t="shared" si="1"/>
        <v>0</v>
      </c>
      <c r="T35" s="20">
        <f t="shared" si="2"/>
        <v>0</v>
      </c>
      <c r="U35" s="20">
        <f t="shared" si="3"/>
        <v>0</v>
      </c>
    </row>
    <row r="36">
      <c r="A36" s="26" t="str">
        <f>Actuals!B36</f>
        <v>Seth A</v>
      </c>
      <c r="B36" s="33">
        <f>If(Actuals!$A36=1,0, IF(Actuals!C36="",0,rank(NetScoreForPoints!B36,NetScoreForPoints!B$4:B$110,1)))</f>
        <v>0</v>
      </c>
      <c r="C36" s="33">
        <f>If(Actuals!$A36=1,0, IF(Actuals!D36="",0,rank(NetScoreForPoints!C36,NetScoreForPoints!C$4:C$110,1)))</f>
        <v>0</v>
      </c>
      <c r="D36" s="33">
        <f>If(Actuals!$A36=1,0, IF(Actuals!E36="",0,rank(NetScoreForPoints!D36,NetScoreForPoints!D$4:D$110,1)))</f>
        <v>0</v>
      </c>
      <c r="E36" s="33">
        <f>If(Actuals!$A36=1,0, IF(Actuals!F36="",0,rank(NetScoreForPoints!E36,NetScoreForPoints!E$4:E$110,1)))</f>
        <v>0</v>
      </c>
      <c r="F36" s="33">
        <f>If(Actuals!$A36=1,0, IF(Actuals!G36="",0,rank(NetScoreForPoints!F36,NetScoreForPoints!F$4:F$110,1)))</f>
        <v>0</v>
      </c>
      <c r="G36" s="33">
        <f>If(Actuals!$A36=1,0, IF(Actuals!H36="",0,rank(NetScoreForPoints!G36,NetScoreForPoints!G$4:G$110,1)))</f>
        <v>0</v>
      </c>
      <c r="H36" s="33">
        <f>If(Actuals!$A36=1,0, IF(Actuals!I36="",0,rank(NetScoreForPoints!H36,NetScoreForPoints!H$4:H$110,1)))</f>
        <v>0</v>
      </c>
      <c r="I36" s="33">
        <f>If(Actuals!$A36=1,0, IF(Actuals!J36="",0,rank(NetScoreForPoints!I36,NetScoreForPoints!I$4:I$110,1)))</f>
        <v>0</v>
      </c>
      <c r="J36" s="33">
        <f>If(Actuals!$A36=1,0, IF(Actuals!K36="",0,rank(NetScoreForPoints!J36,NetScoreForPoints!J$4:J$110,1)))</f>
        <v>0</v>
      </c>
      <c r="K36" s="33">
        <f>If(Actuals!$A36=1,0, IF(Actuals!L36="",0,rank(NetScoreForPoints!K36,NetScoreForPoints!K$4:K$110,1)))</f>
        <v>0</v>
      </c>
      <c r="L36" s="33">
        <f>If(Actuals!$A36=1,0, IF(Actuals!M36="",0,rank(NetScoreForPoints!L36,NetScoreForPoints!L$4:L$110,1)))</f>
        <v>0</v>
      </c>
      <c r="M36" s="33">
        <f>If(Actuals!$A36=1,0, IF(Actuals!N36="",0,rank(NetScoreForPoints!M36,NetScoreForPoints!M$4:M$110,1)))</f>
        <v>0</v>
      </c>
      <c r="N36" s="33">
        <f>If(Actuals!$A36=1,0, IF(Actuals!O36="",0,rank(NetScoreForPoints!N36,NetScoreForPoints!N$4:N$110,1)))</f>
        <v>0</v>
      </c>
      <c r="O36" s="33">
        <f>If(Actuals!$A36=1,0, IF(Actuals!P36="",0,rank(NetScoreForPoints!O36,NetScoreForPoints!O$4:O$110,1)))</f>
        <v>0</v>
      </c>
      <c r="P36" s="33">
        <f>If(Actuals!$A36=1,0, IF(Actuals!Q36="",0,rank(NetScoreForPoints!P36,NetScoreForPoints!P$4:P$110,1)))</f>
        <v>0</v>
      </c>
      <c r="Q36" s="33">
        <f>If(Actuals!$A36=1,0, IF(Actuals!R36="",0,rank(NetScoreForPoints!Q36,NetScoreForPoints!Q$4:Q$110,1)))</f>
        <v>0</v>
      </c>
      <c r="R36" s="20">
        <f t="shared" si="4"/>
        <v>0</v>
      </c>
      <c r="S36" s="20">
        <f t="shared" si="1"/>
        <v>0</v>
      </c>
      <c r="T36" s="20">
        <f t="shared" si="2"/>
        <v>0</v>
      </c>
      <c r="U36" s="20">
        <f t="shared" si="3"/>
        <v>0</v>
      </c>
    </row>
    <row r="37">
      <c r="A37" s="26" t="str">
        <f>Actuals!B37</f>
        <v>Simon R</v>
      </c>
      <c r="B37" s="33">
        <f>If(Actuals!$A37=1,0, IF(Actuals!C37="",0,rank(NetScoreForPoints!B37,NetScoreForPoints!B$4:B$110,1)))</f>
        <v>6</v>
      </c>
      <c r="C37" s="33">
        <f>If(Actuals!$A37=1,0, IF(Actuals!D37="",0,rank(NetScoreForPoints!C37,NetScoreForPoints!C$4:C$110,1)))</f>
        <v>0</v>
      </c>
      <c r="D37" s="33">
        <f>If(Actuals!$A37=1,0, IF(Actuals!E37="",0,rank(NetScoreForPoints!D37,NetScoreForPoints!D$4:D$110,1)))</f>
        <v>0</v>
      </c>
      <c r="E37" s="33">
        <f>If(Actuals!$A37=1,0, IF(Actuals!F37="",0,rank(NetScoreForPoints!E37,NetScoreForPoints!E$4:E$110,1)))</f>
        <v>0</v>
      </c>
      <c r="F37" s="33">
        <f>If(Actuals!$A37=1,0, IF(Actuals!G37="",0,rank(NetScoreForPoints!F37,NetScoreForPoints!F$4:F$110,1)))</f>
        <v>0</v>
      </c>
      <c r="G37" s="33">
        <f>If(Actuals!$A37=1,0, IF(Actuals!H37="",0,rank(NetScoreForPoints!G37,NetScoreForPoints!G$4:G$110,1)))</f>
        <v>0</v>
      </c>
      <c r="H37" s="33">
        <f>If(Actuals!$A37=1,0, IF(Actuals!I37="",0,rank(NetScoreForPoints!H37,NetScoreForPoints!H$4:H$110,1)))</f>
        <v>0</v>
      </c>
      <c r="I37" s="33">
        <f>If(Actuals!$A37=1,0, IF(Actuals!J37="",0,rank(NetScoreForPoints!I37,NetScoreForPoints!I$4:I$110,1)))</f>
        <v>0</v>
      </c>
      <c r="J37" s="33">
        <f>If(Actuals!$A37=1,0, IF(Actuals!K37="",0,rank(NetScoreForPoints!J37,NetScoreForPoints!J$4:J$110,1)))</f>
        <v>0</v>
      </c>
      <c r="K37" s="33">
        <f>If(Actuals!$A37=1,0, IF(Actuals!L37="",0,rank(NetScoreForPoints!K37,NetScoreForPoints!K$4:K$110,1)))</f>
        <v>0</v>
      </c>
      <c r="L37" s="33">
        <f>If(Actuals!$A37=1,0, IF(Actuals!M37="",0,rank(NetScoreForPoints!L37,NetScoreForPoints!L$4:L$110,1)))</f>
        <v>0</v>
      </c>
      <c r="M37" s="33">
        <f>If(Actuals!$A37=1,0, IF(Actuals!N37="",0,rank(NetScoreForPoints!M37,NetScoreForPoints!M$4:M$110,1)))</f>
        <v>0</v>
      </c>
      <c r="N37" s="33">
        <f>If(Actuals!$A37=1,0, IF(Actuals!O37="",0,rank(NetScoreForPoints!N37,NetScoreForPoints!N$4:N$110,1)))</f>
        <v>0</v>
      </c>
      <c r="O37" s="33">
        <f>If(Actuals!$A37=1,0, IF(Actuals!P37="",0,rank(NetScoreForPoints!O37,NetScoreForPoints!O$4:O$110,1)))</f>
        <v>0</v>
      </c>
      <c r="P37" s="33">
        <f>If(Actuals!$A37=1,0, IF(Actuals!Q37="",0,rank(NetScoreForPoints!P37,NetScoreForPoints!P$4:P$110,1)))</f>
        <v>0</v>
      </c>
      <c r="Q37" s="33">
        <f>If(Actuals!$A37=1,0, IF(Actuals!R37="",0,rank(NetScoreForPoints!Q37,NetScoreForPoints!Q$4:Q$110,1)))</f>
        <v>0</v>
      </c>
      <c r="R37" s="20">
        <f t="shared" si="4"/>
        <v>0</v>
      </c>
      <c r="S37" s="20">
        <f t="shared" si="1"/>
        <v>0</v>
      </c>
      <c r="T37" s="20">
        <f t="shared" si="2"/>
        <v>0</v>
      </c>
      <c r="U37" s="20">
        <f t="shared" si="3"/>
        <v>1</v>
      </c>
    </row>
    <row r="38">
      <c r="A38" s="26" t="str">
        <f>Actuals!B38</f>
        <v>Steve S</v>
      </c>
      <c r="B38" s="33">
        <f>If(Actuals!$A38=1,0, IF(Actuals!C38="",0,rank(NetScoreForPoints!B38,NetScoreForPoints!B$4:B$110,1)))</f>
        <v>0</v>
      </c>
      <c r="C38" s="33">
        <f>If(Actuals!$A38=1,0, IF(Actuals!D38="",0,rank(NetScoreForPoints!C38,NetScoreForPoints!C$4:C$110,1)))</f>
        <v>0</v>
      </c>
      <c r="D38" s="33">
        <f>If(Actuals!$A38=1,0, IF(Actuals!E38="",0,rank(NetScoreForPoints!D38,NetScoreForPoints!D$4:D$110,1)))</f>
        <v>0</v>
      </c>
      <c r="E38" s="33">
        <f>If(Actuals!$A38=1,0, IF(Actuals!F38="",0,rank(NetScoreForPoints!E38,NetScoreForPoints!E$4:E$110,1)))</f>
        <v>0</v>
      </c>
      <c r="F38" s="33">
        <f>If(Actuals!$A38=1,0, IF(Actuals!G38="",0,rank(NetScoreForPoints!F38,NetScoreForPoints!F$4:F$110,1)))</f>
        <v>0</v>
      </c>
      <c r="G38" s="33">
        <f>If(Actuals!$A38=1,0, IF(Actuals!H38="",0,rank(NetScoreForPoints!G38,NetScoreForPoints!G$4:G$110,1)))</f>
        <v>0</v>
      </c>
      <c r="H38" s="33">
        <f>If(Actuals!$A38=1,0, IF(Actuals!I38="",0,rank(NetScoreForPoints!H38,NetScoreForPoints!H$4:H$110,1)))</f>
        <v>0</v>
      </c>
      <c r="I38" s="33">
        <f>If(Actuals!$A38=1,0, IF(Actuals!J38="",0,rank(NetScoreForPoints!I38,NetScoreForPoints!I$4:I$110,1)))</f>
        <v>0</v>
      </c>
      <c r="J38" s="33">
        <f>If(Actuals!$A38=1,0, IF(Actuals!K38="",0,rank(NetScoreForPoints!J38,NetScoreForPoints!J$4:J$110,1)))</f>
        <v>0</v>
      </c>
      <c r="K38" s="33">
        <f>If(Actuals!$A38=1,0, IF(Actuals!L38="",0,rank(NetScoreForPoints!K38,NetScoreForPoints!K$4:K$110,1)))</f>
        <v>0</v>
      </c>
      <c r="L38" s="33">
        <f>If(Actuals!$A38=1,0, IF(Actuals!M38="",0,rank(NetScoreForPoints!L38,NetScoreForPoints!L$4:L$110,1)))</f>
        <v>0</v>
      </c>
      <c r="M38" s="33">
        <f>If(Actuals!$A38=1,0, IF(Actuals!N38="",0,rank(NetScoreForPoints!M38,NetScoreForPoints!M$4:M$110,1)))</f>
        <v>0</v>
      </c>
      <c r="N38" s="33">
        <f>If(Actuals!$A38=1,0, IF(Actuals!O38="",0,rank(NetScoreForPoints!N38,NetScoreForPoints!N$4:N$110,1)))</f>
        <v>0</v>
      </c>
      <c r="O38" s="33">
        <f>If(Actuals!$A38=1,0, IF(Actuals!P38="",0,rank(NetScoreForPoints!O38,NetScoreForPoints!O$4:O$110,1)))</f>
        <v>0</v>
      </c>
      <c r="P38" s="33">
        <f>If(Actuals!$A38=1,0, IF(Actuals!Q38="",0,rank(NetScoreForPoints!P38,NetScoreForPoints!P$4:P$110,1)))</f>
        <v>0</v>
      </c>
      <c r="Q38" s="33">
        <f>If(Actuals!$A38=1,0, IF(Actuals!R38="",0,rank(NetScoreForPoints!Q38,NetScoreForPoints!Q$4:Q$110,1)))</f>
        <v>0</v>
      </c>
      <c r="R38" s="20">
        <f t="shared" si="4"/>
        <v>0</v>
      </c>
      <c r="S38" s="20">
        <f t="shared" si="1"/>
        <v>0</v>
      </c>
      <c r="T38" s="20">
        <f t="shared" si="2"/>
        <v>0</v>
      </c>
      <c r="U38" s="20">
        <f t="shared" si="3"/>
        <v>0</v>
      </c>
    </row>
    <row r="39">
      <c r="A39" s="26" t="str">
        <f>Actuals!B39</f>
        <v>Tanner Brown</v>
      </c>
      <c r="B39" s="33">
        <f>If(Actuals!$A39=1,0, IF(Actuals!C39="",0,rank(NetScoreForPoints!B39,NetScoreForPoints!B$4:B$110,1)))</f>
        <v>0</v>
      </c>
      <c r="C39" s="33">
        <f>If(Actuals!$A39=1,0, IF(Actuals!D39="",0,rank(NetScoreForPoints!C39,NetScoreForPoints!C$4:C$110,1)))</f>
        <v>2</v>
      </c>
      <c r="D39" s="33">
        <f>If(Actuals!$A39=1,0, IF(Actuals!E39="",0,rank(NetScoreForPoints!D39,NetScoreForPoints!D$4:D$110,1)))</f>
        <v>0</v>
      </c>
      <c r="E39" s="33">
        <f>If(Actuals!$A39=1,0, IF(Actuals!F39="",0,rank(NetScoreForPoints!E39,NetScoreForPoints!E$4:E$110,1)))</f>
        <v>0</v>
      </c>
      <c r="F39" s="33">
        <f>If(Actuals!$A39=1,0, IF(Actuals!G39="",0,rank(NetScoreForPoints!F39,NetScoreForPoints!F$4:F$110,1)))</f>
        <v>0</v>
      </c>
      <c r="G39" s="33">
        <f>If(Actuals!$A39=1,0, IF(Actuals!H39="",0,rank(NetScoreForPoints!G39,NetScoreForPoints!G$4:G$110,1)))</f>
        <v>0</v>
      </c>
      <c r="H39" s="33">
        <f>If(Actuals!$A39=1,0, IF(Actuals!I39="",0,rank(NetScoreForPoints!H39,NetScoreForPoints!H$4:H$110,1)))</f>
        <v>0</v>
      </c>
      <c r="I39" s="33">
        <f>If(Actuals!$A39=1,0, IF(Actuals!J39="",0,rank(NetScoreForPoints!I39,NetScoreForPoints!I$4:I$110,1)))</f>
        <v>0</v>
      </c>
      <c r="J39" s="33">
        <f>If(Actuals!$A39=1,0, IF(Actuals!K39="",0,rank(NetScoreForPoints!J39,NetScoreForPoints!J$4:J$110,1)))</f>
        <v>0</v>
      </c>
      <c r="K39" s="33">
        <f>If(Actuals!$A39=1,0, IF(Actuals!L39="",0,rank(NetScoreForPoints!K39,NetScoreForPoints!K$4:K$110,1)))</f>
        <v>0</v>
      </c>
      <c r="L39" s="33">
        <f>If(Actuals!$A39=1,0, IF(Actuals!M39="",0,rank(NetScoreForPoints!L39,NetScoreForPoints!L$4:L$110,1)))</f>
        <v>0</v>
      </c>
      <c r="M39" s="33">
        <f>If(Actuals!$A39=1,0, IF(Actuals!N39="",0,rank(NetScoreForPoints!M39,NetScoreForPoints!M$4:M$110,1)))</f>
        <v>0</v>
      </c>
      <c r="N39" s="33">
        <f>If(Actuals!$A39=1,0, IF(Actuals!O39="",0,rank(NetScoreForPoints!N39,NetScoreForPoints!N$4:N$110,1)))</f>
        <v>0</v>
      </c>
      <c r="O39" s="33">
        <f>If(Actuals!$A39=1,0, IF(Actuals!P39="",0,rank(NetScoreForPoints!O39,NetScoreForPoints!O$4:O$110,1)))</f>
        <v>0</v>
      </c>
      <c r="P39" s="33">
        <f>If(Actuals!$A39=1,0, IF(Actuals!Q39="",0,rank(NetScoreForPoints!P39,NetScoreForPoints!P$4:P$110,1)))</f>
        <v>0</v>
      </c>
      <c r="Q39" s="33">
        <f>If(Actuals!$A39=1,0, IF(Actuals!R39="",0,rank(NetScoreForPoints!Q39,NetScoreForPoints!Q$4:Q$110,1)))</f>
        <v>0</v>
      </c>
      <c r="R39" s="20">
        <f t="shared" si="4"/>
        <v>0</v>
      </c>
      <c r="S39" s="20">
        <f t="shared" si="1"/>
        <v>1</v>
      </c>
      <c r="T39" s="20">
        <f t="shared" si="2"/>
        <v>1</v>
      </c>
      <c r="U39" s="20">
        <f t="shared" si="3"/>
        <v>1</v>
      </c>
    </row>
    <row r="40">
      <c r="A40" s="26" t="str">
        <f>Actuals!B40</f>
        <v>Tanner Buechele</v>
      </c>
      <c r="B40" s="33">
        <f>If(Actuals!$A40=1,0, IF(Actuals!C40="",0,rank(NetScoreForPoints!B40,NetScoreForPoints!B$4:B$110,1)))</f>
        <v>0</v>
      </c>
      <c r="C40" s="33">
        <f>If(Actuals!$A40=1,0, IF(Actuals!D40="",0,rank(NetScoreForPoints!C40,NetScoreForPoints!C$4:C$110,1)))</f>
        <v>0</v>
      </c>
      <c r="D40" s="33">
        <f>If(Actuals!$A40=1,0, IF(Actuals!E40="",0,rank(NetScoreForPoints!D40,NetScoreForPoints!D$4:D$110,1)))</f>
        <v>0</v>
      </c>
      <c r="E40" s="33">
        <f>If(Actuals!$A40=1,0, IF(Actuals!F40="",0,rank(NetScoreForPoints!E40,NetScoreForPoints!E$4:E$110,1)))</f>
        <v>0</v>
      </c>
      <c r="F40" s="33">
        <f>If(Actuals!$A40=1,0, IF(Actuals!G40="",0,rank(NetScoreForPoints!F40,NetScoreForPoints!F$4:F$110,1)))</f>
        <v>0</v>
      </c>
      <c r="G40" s="33">
        <f>If(Actuals!$A40=1,0, IF(Actuals!H40="",0,rank(NetScoreForPoints!G40,NetScoreForPoints!G$4:G$110,1)))</f>
        <v>0</v>
      </c>
      <c r="H40" s="33">
        <f>If(Actuals!$A40=1,0, IF(Actuals!I40="",0,rank(NetScoreForPoints!H40,NetScoreForPoints!H$4:H$110,1)))</f>
        <v>0</v>
      </c>
      <c r="I40" s="33">
        <f>If(Actuals!$A40=1,0, IF(Actuals!J40="",0,rank(NetScoreForPoints!I40,NetScoreForPoints!I$4:I$110,1)))</f>
        <v>0</v>
      </c>
      <c r="J40" s="33">
        <f>If(Actuals!$A40=1,0, IF(Actuals!K40="",0,rank(NetScoreForPoints!J40,NetScoreForPoints!J$4:J$110,1)))</f>
        <v>0</v>
      </c>
      <c r="K40" s="33">
        <f>If(Actuals!$A40=1,0, IF(Actuals!L40="",0,rank(NetScoreForPoints!K40,NetScoreForPoints!K$4:K$110,1)))</f>
        <v>0</v>
      </c>
      <c r="L40" s="33">
        <f>If(Actuals!$A40=1,0, IF(Actuals!M40="",0,rank(NetScoreForPoints!L40,NetScoreForPoints!L$4:L$110,1)))</f>
        <v>0</v>
      </c>
      <c r="M40" s="33">
        <f>If(Actuals!$A40=1,0, IF(Actuals!N40="",0,rank(NetScoreForPoints!M40,NetScoreForPoints!M$4:M$110,1)))</f>
        <v>0</v>
      </c>
      <c r="N40" s="33">
        <f>If(Actuals!$A40=1,0, IF(Actuals!O40="",0,rank(NetScoreForPoints!N40,NetScoreForPoints!N$4:N$110,1)))</f>
        <v>0</v>
      </c>
      <c r="O40" s="33">
        <f>If(Actuals!$A40=1,0, IF(Actuals!P40="",0,rank(NetScoreForPoints!O40,NetScoreForPoints!O$4:O$110,1)))</f>
        <v>0</v>
      </c>
      <c r="P40" s="33">
        <f>If(Actuals!$A40=1,0, IF(Actuals!Q40="",0,rank(NetScoreForPoints!P40,NetScoreForPoints!P$4:P$110,1)))</f>
        <v>0</v>
      </c>
      <c r="Q40" s="33">
        <f>If(Actuals!$A40=1,0, IF(Actuals!R40="",0,rank(NetScoreForPoints!Q40,NetScoreForPoints!Q$4:Q$110,1)))</f>
        <v>0</v>
      </c>
      <c r="R40" s="20">
        <f t="shared" si="4"/>
        <v>0</v>
      </c>
      <c r="S40" s="20">
        <f t="shared" si="1"/>
        <v>0</v>
      </c>
      <c r="T40" s="20">
        <f t="shared" si="2"/>
        <v>0</v>
      </c>
      <c r="U40" s="20">
        <f t="shared" si="3"/>
        <v>0</v>
      </c>
    </row>
    <row r="41">
      <c r="A41" s="26" t="str">
        <f>Actuals!B41</f>
        <v>Thomas Y</v>
      </c>
      <c r="B41" s="33">
        <f>If(Actuals!$A41=1,0, IF(Actuals!C41="",0,rank(NetScoreForPoints!B41,NetScoreForPoints!B$4:B$110,1)))</f>
        <v>0</v>
      </c>
      <c r="C41" s="33">
        <f>If(Actuals!$A41=1,0, IF(Actuals!D41="",0,rank(NetScoreForPoints!C41,NetScoreForPoints!C$4:C$110,1)))</f>
        <v>0</v>
      </c>
      <c r="D41" s="33">
        <f>If(Actuals!$A41=1,0, IF(Actuals!E41="",0,rank(NetScoreForPoints!D41,NetScoreForPoints!D$4:D$110,1)))</f>
        <v>0</v>
      </c>
      <c r="E41" s="33">
        <f>If(Actuals!$A41=1,0, IF(Actuals!F41="",0,rank(NetScoreForPoints!E41,NetScoreForPoints!E$4:E$110,1)))</f>
        <v>0</v>
      </c>
      <c r="F41" s="33">
        <f>If(Actuals!$A41=1,0, IF(Actuals!G41="",0,rank(NetScoreForPoints!F41,NetScoreForPoints!F$4:F$110,1)))</f>
        <v>0</v>
      </c>
      <c r="G41" s="33">
        <f>If(Actuals!$A41=1,0, IF(Actuals!H41="",0,rank(NetScoreForPoints!G41,NetScoreForPoints!G$4:G$110,1)))</f>
        <v>0</v>
      </c>
      <c r="H41" s="33">
        <f>If(Actuals!$A41=1,0, IF(Actuals!I41="",0,rank(NetScoreForPoints!H41,NetScoreForPoints!H$4:H$110,1)))</f>
        <v>0</v>
      </c>
      <c r="I41" s="33">
        <f>If(Actuals!$A41=1,0, IF(Actuals!J41="",0,rank(NetScoreForPoints!I41,NetScoreForPoints!I$4:I$110,1)))</f>
        <v>0</v>
      </c>
      <c r="J41" s="33">
        <f>If(Actuals!$A41=1,0, IF(Actuals!K41="",0,rank(NetScoreForPoints!J41,NetScoreForPoints!J$4:J$110,1)))</f>
        <v>0</v>
      </c>
      <c r="K41" s="33">
        <f>If(Actuals!$A41=1,0, IF(Actuals!L41="",0,rank(NetScoreForPoints!K41,NetScoreForPoints!K$4:K$110,1)))</f>
        <v>0</v>
      </c>
      <c r="L41" s="33">
        <f>If(Actuals!$A41=1,0, IF(Actuals!M41="",0,rank(NetScoreForPoints!L41,NetScoreForPoints!L$4:L$110,1)))</f>
        <v>0</v>
      </c>
      <c r="M41" s="33">
        <f>If(Actuals!$A41=1,0, IF(Actuals!N41="",0,rank(NetScoreForPoints!M41,NetScoreForPoints!M$4:M$110,1)))</f>
        <v>0</v>
      </c>
      <c r="N41" s="33">
        <f>If(Actuals!$A41=1,0, IF(Actuals!O41="",0,rank(NetScoreForPoints!N41,NetScoreForPoints!N$4:N$110,1)))</f>
        <v>0</v>
      </c>
      <c r="O41" s="33">
        <f>If(Actuals!$A41=1,0, IF(Actuals!P41="",0,rank(NetScoreForPoints!O41,NetScoreForPoints!O$4:O$110,1)))</f>
        <v>0</v>
      </c>
      <c r="P41" s="33">
        <f>If(Actuals!$A41=1,0, IF(Actuals!Q41="",0,rank(NetScoreForPoints!P41,NetScoreForPoints!P$4:P$110,1)))</f>
        <v>0</v>
      </c>
      <c r="Q41" s="33">
        <f>If(Actuals!$A41=1,0, IF(Actuals!R41="",0,rank(NetScoreForPoints!Q41,NetScoreForPoints!Q$4:Q$110,1)))</f>
        <v>0</v>
      </c>
      <c r="R41" s="20">
        <f t="shared" si="4"/>
        <v>0</v>
      </c>
      <c r="S41" s="20">
        <f t="shared" si="1"/>
        <v>0</v>
      </c>
      <c r="T41" s="20">
        <f t="shared" si="2"/>
        <v>0</v>
      </c>
      <c r="U41" s="20">
        <f t="shared" si="3"/>
        <v>0</v>
      </c>
    </row>
    <row r="42">
      <c r="A42" s="26" t="str">
        <f>Actuals!B42</f>
        <v>Tom B</v>
      </c>
      <c r="B42" s="33">
        <f>If(Actuals!$A42=1,0, IF(Actuals!C42="",0,rank(NetScoreForPoints!B42,NetScoreForPoints!B$4:B$110,1)))</f>
        <v>0</v>
      </c>
      <c r="C42" s="33">
        <f>If(Actuals!$A42=1,0, IF(Actuals!D42="",0,rank(NetScoreForPoints!C42,NetScoreForPoints!C$4:C$110,1)))</f>
        <v>0</v>
      </c>
      <c r="D42" s="33">
        <f>If(Actuals!$A42=1,0, IF(Actuals!E42="",0,rank(NetScoreForPoints!D42,NetScoreForPoints!D$4:D$110,1)))</f>
        <v>0</v>
      </c>
      <c r="E42" s="33">
        <f>If(Actuals!$A42=1,0, IF(Actuals!F42="",0,rank(NetScoreForPoints!E42,NetScoreForPoints!E$4:E$110,1)))</f>
        <v>0</v>
      </c>
      <c r="F42" s="33">
        <f>If(Actuals!$A42=1,0, IF(Actuals!G42="",0,rank(NetScoreForPoints!F42,NetScoreForPoints!F$4:F$110,1)))</f>
        <v>0</v>
      </c>
      <c r="G42" s="33">
        <f>If(Actuals!$A42=1,0, IF(Actuals!H42="",0,rank(NetScoreForPoints!G42,NetScoreForPoints!G$4:G$110,1)))</f>
        <v>0</v>
      </c>
      <c r="H42" s="33">
        <f>If(Actuals!$A42=1,0, IF(Actuals!I42="",0,rank(NetScoreForPoints!H42,NetScoreForPoints!H$4:H$110,1)))</f>
        <v>0</v>
      </c>
      <c r="I42" s="33">
        <f>If(Actuals!$A42=1,0, IF(Actuals!J42="",0,rank(NetScoreForPoints!I42,NetScoreForPoints!I$4:I$110,1)))</f>
        <v>0</v>
      </c>
      <c r="J42" s="33">
        <f>If(Actuals!$A42=1,0, IF(Actuals!K42="",0,rank(NetScoreForPoints!J42,NetScoreForPoints!J$4:J$110,1)))</f>
        <v>0</v>
      </c>
      <c r="K42" s="33">
        <f>If(Actuals!$A42=1,0, IF(Actuals!L42="",0,rank(NetScoreForPoints!K42,NetScoreForPoints!K$4:K$110,1)))</f>
        <v>0</v>
      </c>
      <c r="L42" s="33">
        <f>If(Actuals!$A42=1,0, IF(Actuals!M42="",0,rank(NetScoreForPoints!L42,NetScoreForPoints!L$4:L$110,1)))</f>
        <v>0</v>
      </c>
      <c r="M42" s="33">
        <f>If(Actuals!$A42=1,0, IF(Actuals!N42="",0,rank(NetScoreForPoints!M42,NetScoreForPoints!M$4:M$110,1)))</f>
        <v>0</v>
      </c>
      <c r="N42" s="33">
        <f>If(Actuals!$A42=1,0, IF(Actuals!O42="",0,rank(NetScoreForPoints!N42,NetScoreForPoints!N$4:N$110,1)))</f>
        <v>0</v>
      </c>
      <c r="O42" s="33">
        <f>If(Actuals!$A42=1,0, IF(Actuals!P42="",0,rank(NetScoreForPoints!O42,NetScoreForPoints!O$4:O$110,1)))</f>
        <v>0</v>
      </c>
      <c r="P42" s="33">
        <f>If(Actuals!$A42=1,0, IF(Actuals!Q42="",0,rank(NetScoreForPoints!P42,NetScoreForPoints!P$4:P$110,1)))</f>
        <v>0</v>
      </c>
      <c r="Q42" s="33">
        <f>If(Actuals!$A42=1,0, IF(Actuals!R42="",0,rank(NetScoreForPoints!Q42,NetScoreForPoints!Q$4:Q$110,1)))</f>
        <v>0</v>
      </c>
      <c r="R42" s="20">
        <f t="shared" si="4"/>
        <v>0</v>
      </c>
      <c r="S42" s="20">
        <f t="shared" si="1"/>
        <v>0</v>
      </c>
      <c r="T42" s="20">
        <f t="shared" si="2"/>
        <v>0</v>
      </c>
      <c r="U42" s="20">
        <f t="shared" si="3"/>
        <v>0</v>
      </c>
    </row>
    <row r="43">
      <c r="A43" s="26" t="str">
        <f>Actuals!B43</f>
        <v>Tommy</v>
      </c>
      <c r="B43" s="33">
        <f>If(Actuals!$A43=1,0, IF(Actuals!C43="",0,rank(NetScoreForPoints!B43,NetScoreForPoints!B$4:B$110,1)))</f>
        <v>0</v>
      </c>
      <c r="C43" s="33">
        <f>If(Actuals!$A43=1,0, IF(Actuals!D43="",0,rank(NetScoreForPoints!C43,NetScoreForPoints!C$4:C$110,1)))</f>
        <v>0</v>
      </c>
      <c r="D43" s="33">
        <f>If(Actuals!$A43=1,0, IF(Actuals!E43="",0,rank(NetScoreForPoints!D43,NetScoreForPoints!D$4:D$110,1)))</f>
        <v>0</v>
      </c>
      <c r="E43" s="33">
        <f>If(Actuals!$A43=1,0, IF(Actuals!F43="",0,rank(NetScoreForPoints!E43,NetScoreForPoints!E$4:E$110,1)))</f>
        <v>0</v>
      </c>
      <c r="F43" s="33">
        <f>If(Actuals!$A43=1,0, IF(Actuals!G43="",0,rank(NetScoreForPoints!F43,NetScoreForPoints!F$4:F$110,1)))</f>
        <v>0</v>
      </c>
      <c r="G43" s="33">
        <f>If(Actuals!$A43=1,0, IF(Actuals!H43="",0,rank(NetScoreForPoints!G43,NetScoreForPoints!G$4:G$110,1)))</f>
        <v>0</v>
      </c>
      <c r="H43" s="33">
        <f>If(Actuals!$A43=1,0, IF(Actuals!I43="",0,rank(NetScoreForPoints!H43,NetScoreForPoints!H$4:H$110,1)))</f>
        <v>0</v>
      </c>
      <c r="I43" s="33">
        <f>If(Actuals!$A43=1,0, IF(Actuals!J43="",0,rank(NetScoreForPoints!I43,NetScoreForPoints!I$4:I$110,1)))</f>
        <v>0</v>
      </c>
      <c r="J43" s="33">
        <f>If(Actuals!$A43=1,0, IF(Actuals!K43="",0,rank(NetScoreForPoints!J43,NetScoreForPoints!J$4:J$110,1)))</f>
        <v>0</v>
      </c>
      <c r="K43" s="33">
        <f>If(Actuals!$A43=1,0, IF(Actuals!L43="",0,rank(NetScoreForPoints!K43,NetScoreForPoints!K$4:K$110,1)))</f>
        <v>0</v>
      </c>
      <c r="L43" s="33">
        <f>If(Actuals!$A43=1,0, IF(Actuals!M43="",0,rank(NetScoreForPoints!L43,NetScoreForPoints!L$4:L$110,1)))</f>
        <v>0</v>
      </c>
      <c r="M43" s="33">
        <f>If(Actuals!$A43=1,0, IF(Actuals!N43="",0,rank(NetScoreForPoints!M43,NetScoreForPoints!M$4:M$110,1)))</f>
        <v>0</v>
      </c>
      <c r="N43" s="33">
        <f>If(Actuals!$A43=1,0, IF(Actuals!O43="",0,rank(NetScoreForPoints!N43,NetScoreForPoints!N$4:N$110,1)))</f>
        <v>0</v>
      </c>
      <c r="O43" s="33">
        <f>If(Actuals!$A43=1,0, IF(Actuals!P43="",0,rank(NetScoreForPoints!O43,NetScoreForPoints!O$4:O$110,1)))</f>
        <v>0</v>
      </c>
      <c r="P43" s="33">
        <f>If(Actuals!$A43=1,0, IF(Actuals!Q43="",0,rank(NetScoreForPoints!P43,NetScoreForPoints!P$4:P$110,1)))</f>
        <v>0</v>
      </c>
      <c r="Q43" s="33">
        <f>If(Actuals!$A43=1,0, IF(Actuals!R43="",0,rank(NetScoreForPoints!Q43,NetScoreForPoints!Q$4:Q$110,1)))</f>
        <v>0</v>
      </c>
      <c r="R43" s="20">
        <f t="shared" si="4"/>
        <v>0</v>
      </c>
      <c r="S43" s="20">
        <f t="shared" si="1"/>
        <v>0</v>
      </c>
      <c r="T43" s="20">
        <f t="shared" si="2"/>
        <v>0</v>
      </c>
      <c r="U43" s="20">
        <f t="shared" si="3"/>
        <v>0</v>
      </c>
    </row>
    <row r="44">
      <c r="A44" s="26" t="str">
        <f>Actuals!B44</f>
        <v>Walt S</v>
      </c>
      <c r="B44" s="33">
        <f>If(Actuals!$A44=1,0, IF(Actuals!C44="",0,rank(NetScoreForPoints!B44,NetScoreForPoints!B$4:B$110,1)))</f>
        <v>5</v>
      </c>
      <c r="C44" s="33">
        <f>If(Actuals!$A44=1,0, IF(Actuals!D44="",0,rank(NetScoreForPoints!C44,NetScoreForPoints!C$4:C$110,1)))</f>
        <v>0</v>
      </c>
      <c r="D44" s="33">
        <f>If(Actuals!$A44=1,0, IF(Actuals!E44="",0,rank(NetScoreForPoints!D44,NetScoreForPoints!D$4:D$110,1)))</f>
        <v>2</v>
      </c>
      <c r="E44" s="33">
        <f>If(Actuals!$A44=1,0, IF(Actuals!F44="",0,rank(NetScoreForPoints!E44,NetScoreForPoints!E$4:E$110,1)))</f>
        <v>0</v>
      </c>
      <c r="F44" s="33">
        <f>If(Actuals!$A44=1,0, IF(Actuals!G44="",0,rank(NetScoreForPoints!F44,NetScoreForPoints!F$4:F$110,1)))</f>
        <v>0</v>
      </c>
      <c r="G44" s="33">
        <f>If(Actuals!$A44=1,0, IF(Actuals!H44="",0,rank(NetScoreForPoints!G44,NetScoreForPoints!G$4:G$110,1)))</f>
        <v>0</v>
      </c>
      <c r="H44" s="33">
        <f>If(Actuals!$A44=1,0, IF(Actuals!I44="",0,rank(NetScoreForPoints!H44,NetScoreForPoints!H$4:H$110,1)))</f>
        <v>0</v>
      </c>
      <c r="I44" s="33">
        <f>If(Actuals!$A44=1,0, IF(Actuals!J44="",0,rank(NetScoreForPoints!I44,NetScoreForPoints!I$4:I$110,1)))</f>
        <v>0</v>
      </c>
      <c r="J44" s="33">
        <f>If(Actuals!$A44=1,0, IF(Actuals!K44="",0,rank(NetScoreForPoints!J44,NetScoreForPoints!J$4:J$110,1)))</f>
        <v>0</v>
      </c>
      <c r="K44" s="33">
        <f>If(Actuals!$A44=1,0, IF(Actuals!L44="",0,rank(NetScoreForPoints!K44,NetScoreForPoints!K$4:K$110,1)))</f>
        <v>0</v>
      </c>
      <c r="L44" s="33">
        <f>If(Actuals!$A44=1,0, IF(Actuals!M44="",0,rank(NetScoreForPoints!L44,NetScoreForPoints!L$4:L$110,1)))</f>
        <v>0</v>
      </c>
      <c r="M44" s="33">
        <f>If(Actuals!$A44=1,0, IF(Actuals!N44="",0,rank(NetScoreForPoints!M44,NetScoreForPoints!M$4:M$110,1)))</f>
        <v>0</v>
      </c>
      <c r="N44" s="33">
        <f>If(Actuals!$A44=1,0, IF(Actuals!O44="",0,rank(NetScoreForPoints!N44,NetScoreForPoints!N$4:N$110,1)))</f>
        <v>0</v>
      </c>
      <c r="O44" s="33">
        <f>If(Actuals!$A44=1,0, IF(Actuals!P44="",0,rank(NetScoreForPoints!O44,NetScoreForPoints!O$4:O$110,1)))</f>
        <v>0</v>
      </c>
      <c r="P44" s="33">
        <f>If(Actuals!$A44=1,0, IF(Actuals!Q44="",0,rank(NetScoreForPoints!P44,NetScoreForPoints!P$4:P$110,1)))</f>
        <v>0</v>
      </c>
      <c r="Q44" s="33">
        <f>If(Actuals!$A44=1,0, IF(Actuals!R44="",0,rank(NetScoreForPoints!Q44,NetScoreForPoints!Q$4:Q$110,1)))</f>
        <v>0</v>
      </c>
      <c r="R44" s="20">
        <f t="shared" si="4"/>
        <v>0</v>
      </c>
      <c r="S44" s="20">
        <f t="shared" si="1"/>
        <v>1</v>
      </c>
      <c r="T44" s="20">
        <f t="shared" si="2"/>
        <v>2</v>
      </c>
      <c r="U44" s="20">
        <f t="shared" si="3"/>
        <v>2</v>
      </c>
    </row>
    <row r="45">
      <c r="A45" s="26" t="str">
        <f>Actuals!B45</f>
        <v>James D</v>
      </c>
      <c r="B45" s="33">
        <f>If(Actuals!$A45=1,0, IF(Actuals!C45="",0,rank(NetScoreForPoints!B45,NetScoreForPoints!B$4:B$110,1)))</f>
        <v>0</v>
      </c>
      <c r="C45" s="33">
        <f>If(Actuals!$A45=1,0, IF(Actuals!D45="",0,rank(NetScoreForPoints!C45,NetScoreForPoints!C$4:C$110,1)))</f>
        <v>0</v>
      </c>
      <c r="D45" s="33">
        <f>If(Actuals!$A45=1,0, IF(Actuals!E45="",0,rank(NetScoreForPoints!D45,NetScoreForPoints!D$4:D$110,1)))</f>
        <v>0</v>
      </c>
      <c r="E45" s="33">
        <f>If(Actuals!$A45=1,0, IF(Actuals!F45="",0,rank(NetScoreForPoints!E45,NetScoreForPoints!E$4:E$110,1)))</f>
        <v>0</v>
      </c>
      <c r="F45" s="33">
        <f>If(Actuals!$A45=1,0, IF(Actuals!G45="",0,rank(NetScoreForPoints!F45,NetScoreForPoints!F$4:F$110,1)))</f>
        <v>0</v>
      </c>
      <c r="G45" s="33">
        <f>If(Actuals!$A45=1,0, IF(Actuals!H45="",0,rank(NetScoreForPoints!G45,NetScoreForPoints!G$4:G$110,1)))</f>
        <v>0</v>
      </c>
      <c r="H45" s="33">
        <f>If(Actuals!$A45=1,0, IF(Actuals!I45="",0,rank(NetScoreForPoints!H45,NetScoreForPoints!H$4:H$110,1)))</f>
        <v>0</v>
      </c>
      <c r="I45" s="33">
        <f>If(Actuals!$A45=1,0, IF(Actuals!J45="",0,rank(NetScoreForPoints!I45,NetScoreForPoints!I$4:I$110,1)))</f>
        <v>0</v>
      </c>
      <c r="J45" s="33">
        <f>If(Actuals!$A45=1,0, IF(Actuals!K45="",0,rank(NetScoreForPoints!J45,NetScoreForPoints!J$4:J$110,1)))</f>
        <v>0</v>
      </c>
      <c r="K45" s="33">
        <f>If(Actuals!$A45=1,0, IF(Actuals!L45="",0,rank(NetScoreForPoints!K45,NetScoreForPoints!K$4:K$110,1)))</f>
        <v>0</v>
      </c>
      <c r="L45" s="33">
        <f>If(Actuals!$A45=1,0, IF(Actuals!M45="",0,rank(NetScoreForPoints!L45,NetScoreForPoints!L$4:L$110,1)))</f>
        <v>0</v>
      </c>
      <c r="M45" s="33">
        <f>If(Actuals!$A45=1,0, IF(Actuals!N45="",0,rank(NetScoreForPoints!M45,NetScoreForPoints!M$4:M$110,1)))</f>
        <v>0</v>
      </c>
      <c r="N45" s="33">
        <f>If(Actuals!$A45=1,0, IF(Actuals!O45="",0,rank(NetScoreForPoints!N45,NetScoreForPoints!N$4:N$110,1)))</f>
        <v>0</v>
      </c>
      <c r="O45" s="33">
        <f>If(Actuals!$A45=1,0, IF(Actuals!P45="",0,rank(NetScoreForPoints!O45,NetScoreForPoints!O$4:O$110,1)))</f>
        <v>0</v>
      </c>
      <c r="P45" s="33">
        <f>If(Actuals!$A45=1,0, IF(Actuals!Q45="",0,rank(NetScoreForPoints!P45,NetScoreForPoints!P$4:P$110,1)))</f>
        <v>0</v>
      </c>
      <c r="Q45" s="33">
        <f>If(Actuals!$A45=1,0, IF(Actuals!R45="",0,rank(NetScoreForPoints!Q45,NetScoreForPoints!Q$4:Q$110,1)))</f>
        <v>0</v>
      </c>
      <c r="R45" s="20">
        <f t="shared" si="4"/>
        <v>0</v>
      </c>
      <c r="S45" s="20">
        <f t="shared" si="1"/>
        <v>0</v>
      </c>
      <c r="T45" s="20">
        <f t="shared" si="2"/>
        <v>0</v>
      </c>
      <c r="U45" s="20">
        <f t="shared" si="3"/>
        <v>0</v>
      </c>
    </row>
    <row r="46">
      <c r="A46" s="26" t="str">
        <f>Actuals!B46</f>
        <v>Josh Norris</v>
      </c>
      <c r="B46" s="33">
        <f>If(Actuals!$A46=1,0, IF(Actuals!C46="",0,rank(NetScoreForPoints!B46,NetScoreForPoints!B$4:B$110,1)))</f>
        <v>0</v>
      </c>
      <c r="C46" s="33">
        <f>If(Actuals!$A46=1,0, IF(Actuals!D46="",0,rank(NetScoreForPoints!C46,NetScoreForPoints!C$4:C$110,1)))</f>
        <v>0</v>
      </c>
      <c r="D46" s="33">
        <f>If(Actuals!$A46=1,0, IF(Actuals!E46="",0,rank(NetScoreForPoints!D46,NetScoreForPoints!D$4:D$110,1)))</f>
        <v>0</v>
      </c>
      <c r="E46" s="33">
        <f>If(Actuals!$A46=1,0, IF(Actuals!F46="",0,rank(NetScoreForPoints!E46,NetScoreForPoints!E$4:E$110,1)))</f>
        <v>0</v>
      </c>
      <c r="F46" s="33">
        <f>If(Actuals!$A46=1,0, IF(Actuals!G46="",0,rank(NetScoreForPoints!F46,NetScoreForPoints!F$4:F$110,1)))</f>
        <v>0</v>
      </c>
      <c r="G46" s="33">
        <f>If(Actuals!$A46=1,0, IF(Actuals!H46="",0,rank(NetScoreForPoints!G46,NetScoreForPoints!G$4:G$110,1)))</f>
        <v>0</v>
      </c>
      <c r="H46" s="33">
        <f>If(Actuals!$A46=1,0, IF(Actuals!I46="",0,rank(NetScoreForPoints!H46,NetScoreForPoints!H$4:H$110,1)))</f>
        <v>0</v>
      </c>
      <c r="I46" s="33">
        <f>If(Actuals!$A46=1,0, IF(Actuals!J46="",0,rank(NetScoreForPoints!I46,NetScoreForPoints!I$4:I$110,1)))</f>
        <v>0</v>
      </c>
      <c r="J46" s="33">
        <f>If(Actuals!$A46=1,0, IF(Actuals!K46="",0,rank(NetScoreForPoints!J46,NetScoreForPoints!J$4:J$110,1)))</f>
        <v>0</v>
      </c>
      <c r="K46" s="33">
        <f>If(Actuals!$A46=1,0, IF(Actuals!L46="",0,rank(NetScoreForPoints!K46,NetScoreForPoints!K$4:K$110,1)))</f>
        <v>0</v>
      </c>
      <c r="L46" s="33">
        <f>If(Actuals!$A46=1,0, IF(Actuals!M46="",0,rank(NetScoreForPoints!L46,NetScoreForPoints!L$4:L$110,1)))</f>
        <v>0</v>
      </c>
      <c r="M46" s="33">
        <f>If(Actuals!$A46=1,0, IF(Actuals!N46="",0,rank(NetScoreForPoints!M46,NetScoreForPoints!M$4:M$110,1)))</f>
        <v>0</v>
      </c>
      <c r="N46" s="33">
        <f>If(Actuals!$A46=1,0, IF(Actuals!O46="",0,rank(NetScoreForPoints!N46,NetScoreForPoints!N$4:N$110,1)))</f>
        <v>0</v>
      </c>
      <c r="O46" s="33">
        <f>If(Actuals!$A46=1,0, IF(Actuals!P46="",0,rank(NetScoreForPoints!O46,NetScoreForPoints!O$4:O$110,1)))</f>
        <v>0</v>
      </c>
      <c r="P46" s="33">
        <f>If(Actuals!$A46=1,0, IF(Actuals!Q46="",0,rank(NetScoreForPoints!P46,NetScoreForPoints!P$4:P$110,1)))</f>
        <v>0</v>
      </c>
      <c r="Q46" s="33">
        <f>If(Actuals!$A46=1,0, IF(Actuals!R46="",0,rank(NetScoreForPoints!Q46,NetScoreForPoints!Q$4:Q$110,1)))</f>
        <v>0</v>
      </c>
      <c r="R46" s="20">
        <f t="shared" si="4"/>
        <v>0</v>
      </c>
      <c r="S46" s="20">
        <f t="shared" si="1"/>
        <v>0</v>
      </c>
      <c r="T46" s="20">
        <f t="shared" si="2"/>
        <v>0</v>
      </c>
      <c r="U46" s="20">
        <f t="shared" si="3"/>
        <v>0</v>
      </c>
    </row>
    <row r="47">
      <c r="A47" s="26" t="str">
        <f>Actuals!B47</f>
        <v>Simon Sr</v>
      </c>
      <c r="B47" s="33">
        <f>If(Actuals!$A47=1,0, IF(Actuals!C47="",0,rank(NetScoreForPoints!B47,NetScoreForPoints!B$4:B$110,1)))</f>
        <v>0</v>
      </c>
      <c r="C47" s="33">
        <f>If(Actuals!$A47=1,0, IF(Actuals!D47="",0,rank(NetScoreForPoints!C47,NetScoreForPoints!C$4:C$110,1)))</f>
        <v>0</v>
      </c>
      <c r="D47" s="33">
        <f>If(Actuals!$A47=1,0, IF(Actuals!E47="",0,rank(NetScoreForPoints!D47,NetScoreForPoints!D$4:D$110,1)))</f>
        <v>0</v>
      </c>
      <c r="E47" s="33">
        <f>If(Actuals!$A47=1,0, IF(Actuals!F47="",0,rank(NetScoreForPoints!E47,NetScoreForPoints!E$4:E$110,1)))</f>
        <v>0</v>
      </c>
      <c r="F47" s="33">
        <f>If(Actuals!$A47=1,0, IF(Actuals!G47="",0,rank(NetScoreForPoints!F47,NetScoreForPoints!F$4:F$110,1)))</f>
        <v>0</v>
      </c>
      <c r="G47" s="33">
        <f>If(Actuals!$A47=1,0, IF(Actuals!H47="",0,rank(NetScoreForPoints!G47,NetScoreForPoints!G$4:G$110,1)))</f>
        <v>0</v>
      </c>
      <c r="H47" s="33">
        <f>If(Actuals!$A47=1,0, IF(Actuals!I47="",0,rank(NetScoreForPoints!H47,NetScoreForPoints!H$4:H$110,1)))</f>
        <v>0</v>
      </c>
      <c r="I47" s="33">
        <f>If(Actuals!$A47=1,0, IF(Actuals!J47="",0,rank(NetScoreForPoints!I47,NetScoreForPoints!I$4:I$110,1)))</f>
        <v>0</v>
      </c>
      <c r="J47" s="33">
        <f>If(Actuals!$A47=1,0, IF(Actuals!K47="",0,rank(NetScoreForPoints!J47,NetScoreForPoints!J$4:J$110,1)))</f>
        <v>0</v>
      </c>
      <c r="K47" s="33">
        <f>If(Actuals!$A47=1,0, IF(Actuals!L47="",0,rank(NetScoreForPoints!K47,NetScoreForPoints!K$4:K$110,1)))</f>
        <v>0</v>
      </c>
      <c r="L47" s="33">
        <f>If(Actuals!$A47=1,0, IF(Actuals!M47="",0,rank(NetScoreForPoints!L47,NetScoreForPoints!L$4:L$110,1)))</f>
        <v>0</v>
      </c>
      <c r="M47" s="33">
        <f>If(Actuals!$A47=1,0, IF(Actuals!N47="",0,rank(NetScoreForPoints!M47,NetScoreForPoints!M$4:M$110,1)))</f>
        <v>0</v>
      </c>
      <c r="N47" s="33">
        <f>If(Actuals!$A47=1,0, IF(Actuals!O47="",0,rank(NetScoreForPoints!N47,NetScoreForPoints!N$4:N$110,1)))</f>
        <v>0</v>
      </c>
      <c r="O47" s="33">
        <f>If(Actuals!$A47=1,0, IF(Actuals!P47="",0,rank(NetScoreForPoints!O47,NetScoreForPoints!O$4:O$110,1)))</f>
        <v>0</v>
      </c>
      <c r="P47" s="33">
        <f>If(Actuals!$A47=1,0, IF(Actuals!Q47="",0,rank(NetScoreForPoints!P47,NetScoreForPoints!P$4:P$110,1)))</f>
        <v>0</v>
      </c>
      <c r="Q47" s="33">
        <f>If(Actuals!$A47=1,0, IF(Actuals!R47="",0,rank(NetScoreForPoints!Q47,NetScoreForPoints!Q$4:Q$110,1)))</f>
        <v>0</v>
      </c>
      <c r="R47" s="20">
        <f t="shared" si="4"/>
        <v>0</v>
      </c>
      <c r="S47" s="20">
        <f t="shared" si="1"/>
        <v>0</v>
      </c>
      <c r="T47" s="20">
        <f t="shared" si="2"/>
        <v>0</v>
      </c>
      <c r="U47" s="20">
        <f t="shared" si="3"/>
        <v>0</v>
      </c>
    </row>
    <row r="48">
      <c r="A48" s="26" t="str">
        <f>Actuals!B48</f>
        <v>Francisco</v>
      </c>
      <c r="B48" s="33">
        <f>If(Actuals!$A48=1,0, IF(Actuals!C48="",0,rank(NetScoreForPoints!B48,NetScoreForPoints!B$4:B$110,1)))</f>
        <v>8</v>
      </c>
      <c r="C48" s="33">
        <f>If(Actuals!$A48=1,0, IF(Actuals!D48="",0,rank(NetScoreForPoints!C48,NetScoreForPoints!C$4:C$110,1)))</f>
        <v>4</v>
      </c>
      <c r="D48" s="33">
        <f>If(Actuals!$A48=1,0, IF(Actuals!E48="",0,rank(NetScoreForPoints!D48,NetScoreForPoints!D$4:D$110,1)))</f>
        <v>0</v>
      </c>
      <c r="E48" s="33">
        <f>If(Actuals!$A48=1,0, IF(Actuals!F48="",0,rank(NetScoreForPoints!E48,NetScoreForPoints!E$4:E$110,1)))</f>
        <v>0</v>
      </c>
      <c r="F48" s="33">
        <f>If(Actuals!$A48=1,0, IF(Actuals!G48="",0,rank(NetScoreForPoints!F48,NetScoreForPoints!F$4:F$110,1)))</f>
        <v>0</v>
      </c>
      <c r="G48" s="33">
        <f>If(Actuals!$A48=1,0, IF(Actuals!H48="",0,rank(NetScoreForPoints!G48,NetScoreForPoints!G$4:G$110,1)))</f>
        <v>0</v>
      </c>
      <c r="H48" s="33">
        <f>If(Actuals!$A48=1,0, IF(Actuals!I48="",0,rank(NetScoreForPoints!H48,NetScoreForPoints!H$4:H$110,1)))</f>
        <v>0</v>
      </c>
      <c r="I48" s="33">
        <f>If(Actuals!$A48=1,0, IF(Actuals!J48="",0,rank(NetScoreForPoints!I48,NetScoreForPoints!I$4:I$110,1)))</f>
        <v>0</v>
      </c>
      <c r="J48" s="33">
        <f>If(Actuals!$A48=1,0, IF(Actuals!K48="",0,rank(NetScoreForPoints!J48,NetScoreForPoints!J$4:J$110,1)))</f>
        <v>0</v>
      </c>
      <c r="K48" s="33">
        <f>If(Actuals!$A48=1,0, IF(Actuals!L48="",0,rank(NetScoreForPoints!K48,NetScoreForPoints!K$4:K$110,1)))</f>
        <v>0</v>
      </c>
      <c r="L48" s="33">
        <f>If(Actuals!$A48=1,0, IF(Actuals!M48="",0,rank(NetScoreForPoints!L48,NetScoreForPoints!L$4:L$110,1)))</f>
        <v>0</v>
      </c>
      <c r="M48" s="33">
        <f>If(Actuals!$A48=1,0, IF(Actuals!N48="",0,rank(NetScoreForPoints!M48,NetScoreForPoints!M$4:M$110,1)))</f>
        <v>0</v>
      </c>
      <c r="N48" s="33">
        <f>If(Actuals!$A48=1,0, IF(Actuals!O48="",0,rank(NetScoreForPoints!N48,NetScoreForPoints!N$4:N$110,1)))</f>
        <v>0</v>
      </c>
      <c r="O48" s="33">
        <f>If(Actuals!$A48=1,0, IF(Actuals!P48="",0,rank(NetScoreForPoints!O48,NetScoreForPoints!O$4:O$110,1)))</f>
        <v>0</v>
      </c>
      <c r="P48" s="33">
        <f>If(Actuals!$A48=1,0, IF(Actuals!Q48="",0,rank(NetScoreForPoints!P48,NetScoreForPoints!P$4:P$110,1)))</f>
        <v>0</v>
      </c>
      <c r="Q48" s="33">
        <f>If(Actuals!$A48=1,0, IF(Actuals!R48="",0,rank(NetScoreForPoints!Q48,NetScoreForPoints!Q$4:Q$110,1)))</f>
        <v>0</v>
      </c>
      <c r="R48" s="20">
        <f t="shared" si="4"/>
        <v>0</v>
      </c>
      <c r="S48" s="20">
        <f t="shared" si="1"/>
        <v>0</v>
      </c>
      <c r="T48" s="20">
        <f t="shared" si="2"/>
        <v>1</v>
      </c>
      <c r="U48" s="20">
        <f t="shared" si="3"/>
        <v>2</v>
      </c>
    </row>
    <row r="49">
      <c r="A49" s="26" t="str">
        <f>Actuals!B49</f>
        <v>Cam King</v>
      </c>
      <c r="B49" s="33">
        <f>If(Actuals!$A49=1,0, IF(Actuals!C49="",0,rank(NetScoreForPoints!B49,NetScoreForPoints!B$4:B$110,1)))</f>
        <v>3</v>
      </c>
      <c r="C49" s="33">
        <f>If(Actuals!$A49=1,0, IF(Actuals!D49="",0,rank(NetScoreForPoints!C49,NetScoreForPoints!C$4:C$110,1)))</f>
        <v>6</v>
      </c>
      <c r="D49" s="33">
        <f>If(Actuals!$A49=1,0, IF(Actuals!E49="",0,rank(NetScoreForPoints!D49,NetScoreForPoints!D$4:D$110,1)))</f>
        <v>6</v>
      </c>
      <c r="E49" s="33">
        <f>If(Actuals!$A49=1,0, IF(Actuals!F49="",0,rank(NetScoreForPoints!E49,NetScoreForPoints!E$4:E$110,1)))</f>
        <v>0</v>
      </c>
      <c r="F49" s="33">
        <f>If(Actuals!$A49=1,0, IF(Actuals!G49="",0,rank(NetScoreForPoints!F49,NetScoreForPoints!F$4:F$110,1)))</f>
        <v>0</v>
      </c>
      <c r="G49" s="33">
        <f>If(Actuals!$A49=1,0, IF(Actuals!H49="",0,rank(NetScoreForPoints!G49,NetScoreForPoints!G$4:G$110,1)))</f>
        <v>0</v>
      </c>
      <c r="H49" s="33">
        <f>If(Actuals!$A49=1,0, IF(Actuals!I49="",0,rank(NetScoreForPoints!H49,NetScoreForPoints!H$4:H$110,1)))</f>
        <v>0</v>
      </c>
      <c r="I49" s="33">
        <f>If(Actuals!$A49=1,0, IF(Actuals!J49="",0,rank(NetScoreForPoints!I49,NetScoreForPoints!I$4:I$110,1)))</f>
        <v>0</v>
      </c>
      <c r="J49" s="33">
        <f>If(Actuals!$A49=1,0, IF(Actuals!K49="",0,rank(NetScoreForPoints!J49,NetScoreForPoints!J$4:J$110,1)))</f>
        <v>0</v>
      </c>
      <c r="K49" s="33">
        <f>If(Actuals!$A49=1,0, IF(Actuals!L49="",0,rank(NetScoreForPoints!K49,NetScoreForPoints!K$4:K$110,1)))</f>
        <v>0</v>
      </c>
      <c r="L49" s="33">
        <f>If(Actuals!$A49=1,0, IF(Actuals!M49="",0,rank(NetScoreForPoints!L49,NetScoreForPoints!L$4:L$110,1)))</f>
        <v>0</v>
      </c>
      <c r="M49" s="33">
        <f>If(Actuals!$A49=1,0, IF(Actuals!N49="",0,rank(NetScoreForPoints!M49,NetScoreForPoints!M$4:M$110,1)))</f>
        <v>0</v>
      </c>
      <c r="N49" s="33">
        <f>If(Actuals!$A49=1,0, IF(Actuals!O49="",0,rank(NetScoreForPoints!N49,NetScoreForPoints!N$4:N$110,1)))</f>
        <v>0</v>
      </c>
      <c r="O49" s="33">
        <f>If(Actuals!$A49=1,0, IF(Actuals!P49="",0,rank(NetScoreForPoints!O49,NetScoreForPoints!O$4:O$110,1)))</f>
        <v>0</v>
      </c>
      <c r="P49" s="33">
        <f>If(Actuals!$A49=1,0, IF(Actuals!Q49="",0,rank(NetScoreForPoints!P49,NetScoreForPoints!P$4:P$110,1)))</f>
        <v>0</v>
      </c>
      <c r="Q49" s="33">
        <f>If(Actuals!$A49=1,0, IF(Actuals!R49="",0,rank(NetScoreForPoints!Q49,NetScoreForPoints!Q$4:Q$110,1)))</f>
        <v>0</v>
      </c>
      <c r="R49" s="20">
        <f t="shared" si="4"/>
        <v>0</v>
      </c>
      <c r="S49" s="20">
        <f t="shared" si="1"/>
        <v>1</v>
      </c>
      <c r="T49" s="20">
        <f t="shared" si="2"/>
        <v>1</v>
      </c>
      <c r="U49" s="20">
        <f t="shared" si="3"/>
        <v>3</v>
      </c>
    </row>
    <row r="50">
      <c r="A50" s="26" t="str">
        <f>Actuals!B50</f>
        <v>Dan K</v>
      </c>
      <c r="B50" s="33">
        <f>If(Actuals!$A50=1,0, IF(Actuals!C50="",0,rank(NetScoreForPoints!B50,NetScoreForPoints!B$4:B$110,1)))</f>
        <v>8</v>
      </c>
      <c r="C50" s="33">
        <f>If(Actuals!$A50=1,0, IF(Actuals!D50="",0,rank(NetScoreForPoints!C50,NetScoreForPoints!C$4:C$110,1)))</f>
        <v>0</v>
      </c>
      <c r="D50" s="33">
        <f>If(Actuals!$A50=1,0, IF(Actuals!E50="",0,rank(NetScoreForPoints!D50,NetScoreForPoints!D$4:D$110,1)))</f>
        <v>5</v>
      </c>
      <c r="E50" s="33">
        <f>If(Actuals!$A50=1,0, IF(Actuals!F50="",0,rank(NetScoreForPoints!E50,NetScoreForPoints!E$4:E$110,1)))</f>
        <v>0</v>
      </c>
      <c r="F50" s="33">
        <f>If(Actuals!$A50=1,0, IF(Actuals!G50="",0,rank(NetScoreForPoints!F50,NetScoreForPoints!F$4:F$110,1)))</f>
        <v>0</v>
      </c>
      <c r="G50" s="33">
        <f>If(Actuals!$A50=1,0, IF(Actuals!H50="",0,rank(NetScoreForPoints!G50,NetScoreForPoints!G$4:G$110,1)))</f>
        <v>0</v>
      </c>
      <c r="H50" s="33">
        <f>If(Actuals!$A50=1,0, IF(Actuals!I50="",0,rank(NetScoreForPoints!H50,NetScoreForPoints!H$4:H$110,1)))</f>
        <v>0</v>
      </c>
      <c r="I50" s="33">
        <f>If(Actuals!$A50=1,0, IF(Actuals!J50="",0,rank(NetScoreForPoints!I50,NetScoreForPoints!I$4:I$110,1)))</f>
        <v>0</v>
      </c>
      <c r="J50" s="33">
        <f>If(Actuals!$A50=1,0, IF(Actuals!K50="",0,rank(NetScoreForPoints!J50,NetScoreForPoints!J$4:J$110,1)))</f>
        <v>0</v>
      </c>
      <c r="K50" s="33">
        <f>If(Actuals!$A50=1,0, IF(Actuals!L50="",0,rank(NetScoreForPoints!K50,NetScoreForPoints!K$4:K$110,1)))</f>
        <v>0</v>
      </c>
      <c r="L50" s="33">
        <f>If(Actuals!$A50=1,0, IF(Actuals!M50="",0,rank(NetScoreForPoints!L50,NetScoreForPoints!L$4:L$110,1)))</f>
        <v>0</v>
      </c>
      <c r="M50" s="33">
        <f>If(Actuals!$A50=1,0, IF(Actuals!N50="",0,rank(NetScoreForPoints!M50,NetScoreForPoints!M$4:M$110,1)))</f>
        <v>0</v>
      </c>
      <c r="N50" s="33">
        <f>If(Actuals!$A50=1,0, IF(Actuals!O50="",0,rank(NetScoreForPoints!N50,NetScoreForPoints!N$4:N$110,1)))</f>
        <v>0</v>
      </c>
      <c r="O50" s="33">
        <f>If(Actuals!$A50=1,0, IF(Actuals!P50="",0,rank(NetScoreForPoints!O50,NetScoreForPoints!O$4:O$110,1)))</f>
        <v>0</v>
      </c>
      <c r="P50" s="33">
        <f>If(Actuals!$A50=1,0, IF(Actuals!Q50="",0,rank(NetScoreForPoints!P50,NetScoreForPoints!P$4:P$110,1)))</f>
        <v>0</v>
      </c>
      <c r="Q50" s="33">
        <f>If(Actuals!$A50=1,0, IF(Actuals!R50="",0,rank(NetScoreForPoints!Q50,NetScoreForPoints!Q$4:Q$110,1)))</f>
        <v>0</v>
      </c>
      <c r="R50" s="20">
        <f t="shared" si="4"/>
        <v>0</v>
      </c>
      <c r="S50" s="20">
        <f t="shared" si="1"/>
        <v>0</v>
      </c>
      <c r="T50" s="20">
        <f t="shared" si="2"/>
        <v>1</v>
      </c>
      <c r="U50" s="20">
        <f t="shared" si="3"/>
        <v>2</v>
      </c>
    </row>
    <row r="51">
      <c r="A51" s="26" t="str">
        <f>Actuals!B51</f>
        <v>Davis</v>
      </c>
      <c r="B51" s="33">
        <f>If(Actuals!$A51=1,0, IF(Actuals!C51="",0,rank(NetScoreForPoints!B51,NetScoreForPoints!B$4:B$110,1)))</f>
        <v>0</v>
      </c>
      <c r="C51" s="33">
        <f>If(Actuals!$A51=1,0, IF(Actuals!D51="",0,rank(NetScoreForPoints!C51,NetScoreForPoints!C$4:C$110,1)))</f>
        <v>0</v>
      </c>
      <c r="D51" s="33">
        <f>If(Actuals!$A51=1,0, IF(Actuals!E51="",0,rank(NetScoreForPoints!D51,NetScoreForPoints!D$4:D$110,1)))</f>
        <v>0</v>
      </c>
      <c r="E51" s="33">
        <f>If(Actuals!$A51=1,0, IF(Actuals!F51="",0,rank(NetScoreForPoints!E51,NetScoreForPoints!E$4:E$110,1)))</f>
        <v>0</v>
      </c>
      <c r="F51" s="33">
        <f>If(Actuals!$A51=1,0, IF(Actuals!G51="",0,rank(NetScoreForPoints!F51,NetScoreForPoints!F$4:F$110,1)))</f>
        <v>0</v>
      </c>
      <c r="G51" s="33">
        <f>If(Actuals!$A51=1,0, IF(Actuals!H51="",0,rank(NetScoreForPoints!G51,NetScoreForPoints!G$4:G$110,1)))</f>
        <v>0</v>
      </c>
      <c r="H51" s="33">
        <f>If(Actuals!$A51=1,0, IF(Actuals!I51="",0,rank(NetScoreForPoints!H51,NetScoreForPoints!H$4:H$110,1)))</f>
        <v>0</v>
      </c>
      <c r="I51" s="33">
        <f>If(Actuals!$A51=1,0, IF(Actuals!J51="",0,rank(NetScoreForPoints!I51,NetScoreForPoints!I$4:I$110,1)))</f>
        <v>0</v>
      </c>
      <c r="J51" s="33">
        <f>If(Actuals!$A51=1,0, IF(Actuals!K51="",0,rank(NetScoreForPoints!J51,NetScoreForPoints!J$4:J$110,1)))</f>
        <v>0</v>
      </c>
      <c r="K51" s="33">
        <f>If(Actuals!$A51=1,0, IF(Actuals!L51="",0,rank(NetScoreForPoints!K51,NetScoreForPoints!K$4:K$110,1)))</f>
        <v>0</v>
      </c>
      <c r="L51" s="33">
        <f>If(Actuals!$A51=1,0, IF(Actuals!M51="",0,rank(NetScoreForPoints!L51,NetScoreForPoints!L$4:L$110,1)))</f>
        <v>0</v>
      </c>
      <c r="M51" s="33">
        <f>If(Actuals!$A51=1,0, IF(Actuals!N51="",0,rank(NetScoreForPoints!M51,NetScoreForPoints!M$4:M$110,1)))</f>
        <v>0</v>
      </c>
      <c r="N51" s="33">
        <f>If(Actuals!$A51=1,0, IF(Actuals!O51="",0,rank(NetScoreForPoints!N51,NetScoreForPoints!N$4:N$110,1)))</f>
        <v>0</v>
      </c>
      <c r="O51" s="33">
        <f>If(Actuals!$A51=1,0, IF(Actuals!P51="",0,rank(NetScoreForPoints!O51,NetScoreForPoints!O$4:O$110,1)))</f>
        <v>0</v>
      </c>
      <c r="P51" s="33">
        <f>If(Actuals!$A51=1,0, IF(Actuals!Q51="",0,rank(NetScoreForPoints!P51,NetScoreForPoints!P$4:P$110,1)))</f>
        <v>0</v>
      </c>
      <c r="Q51" s="33">
        <f>If(Actuals!$A51=1,0, IF(Actuals!R51="",0,rank(NetScoreForPoints!Q51,NetScoreForPoints!Q$4:Q$110,1)))</f>
        <v>0</v>
      </c>
      <c r="R51" s="20">
        <f t="shared" si="4"/>
        <v>0</v>
      </c>
      <c r="S51" s="20">
        <f t="shared" si="1"/>
        <v>0</v>
      </c>
      <c r="T51" s="20">
        <f t="shared" si="2"/>
        <v>0</v>
      </c>
      <c r="U51" s="20">
        <f t="shared" si="3"/>
        <v>0</v>
      </c>
    </row>
    <row r="52">
      <c r="A52" s="26" t="str">
        <f>Actuals!B52</f>
        <v>Amanda C</v>
      </c>
      <c r="B52" s="33">
        <f>If(Actuals!$A52=1,0, IF(Actuals!C52="",0,rank(NetScoreForPoints!B52,NetScoreForPoints!B$4:B$110,1)))</f>
        <v>0</v>
      </c>
      <c r="C52" s="33">
        <f>If(Actuals!$A52=1,0, IF(Actuals!D52="",0,rank(NetScoreForPoints!C52,NetScoreForPoints!C$4:C$110,1)))</f>
        <v>0</v>
      </c>
      <c r="D52" s="33">
        <f>If(Actuals!$A52=1,0, IF(Actuals!E52="",0,rank(NetScoreForPoints!D52,NetScoreForPoints!D$4:D$110,1)))</f>
        <v>0</v>
      </c>
      <c r="E52" s="33">
        <f>If(Actuals!$A52=1,0, IF(Actuals!F52="",0,rank(NetScoreForPoints!E52,NetScoreForPoints!E$4:E$110,1)))</f>
        <v>0</v>
      </c>
      <c r="F52" s="33">
        <f>If(Actuals!$A52=1,0, IF(Actuals!G52="",0,rank(NetScoreForPoints!F52,NetScoreForPoints!F$4:F$110,1)))</f>
        <v>0</v>
      </c>
      <c r="G52" s="33">
        <f>If(Actuals!$A52=1,0, IF(Actuals!H52="",0,rank(NetScoreForPoints!G52,NetScoreForPoints!G$4:G$110,1)))</f>
        <v>0</v>
      </c>
      <c r="H52" s="33">
        <f>If(Actuals!$A52=1,0, IF(Actuals!I52="",0,rank(NetScoreForPoints!H52,NetScoreForPoints!H$4:H$110,1)))</f>
        <v>0</v>
      </c>
      <c r="I52" s="33">
        <f>If(Actuals!$A52=1,0, IF(Actuals!J52="",0,rank(NetScoreForPoints!I52,NetScoreForPoints!I$4:I$110,1)))</f>
        <v>0</v>
      </c>
      <c r="J52" s="33">
        <f>If(Actuals!$A52=1,0, IF(Actuals!K52="",0,rank(NetScoreForPoints!J52,NetScoreForPoints!J$4:J$110,1)))</f>
        <v>0</v>
      </c>
      <c r="K52" s="33">
        <f>If(Actuals!$A52=1,0, IF(Actuals!L52="",0,rank(NetScoreForPoints!K52,NetScoreForPoints!K$4:K$110,1)))</f>
        <v>0</v>
      </c>
      <c r="L52" s="33">
        <f>If(Actuals!$A52=1,0, IF(Actuals!M52="",0,rank(NetScoreForPoints!L52,NetScoreForPoints!L$4:L$110,1)))</f>
        <v>0</v>
      </c>
      <c r="M52" s="33">
        <f>If(Actuals!$A52=1,0, IF(Actuals!N52="",0,rank(NetScoreForPoints!M52,NetScoreForPoints!M$4:M$110,1)))</f>
        <v>0</v>
      </c>
      <c r="N52" s="33">
        <f>If(Actuals!$A52=1,0, IF(Actuals!O52="",0,rank(NetScoreForPoints!N52,NetScoreForPoints!N$4:N$110,1)))</f>
        <v>0</v>
      </c>
      <c r="O52" s="33">
        <f>If(Actuals!$A52=1,0, IF(Actuals!P52="",0,rank(NetScoreForPoints!O52,NetScoreForPoints!O$4:O$110,1)))</f>
        <v>0</v>
      </c>
      <c r="P52" s="33">
        <f>If(Actuals!$A52=1,0, IF(Actuals!Q52="",0,rank(NetScoreForPoints!P52,NetScoreForPoints!P$4:P$110,1)))</f>
        <v>0</v>
      </c>
      <c r="Q52" s="33">
        <f>If(Actuals!$A52=1,0, IF(Actuals!R52="",0,rank(NetScoreForPoints!Q52,NetScoreForPoints!Q$4:Q$110,1)))</f>
        <v>0</v>
      </c>
      <c r="R52" s="20">
        <f t="shared" si="4"/>
        <v>0</v>
      </c>
      <c r="S52" s="20">
        <f t="shared" si="1"/>
        <v>0</v>
      </c>
      <c r="T52" s="20">
        <f t="shared" si="2"/>
        <v>0</v>
      </c>
      <c r="U52" s="20">
        <f t="shared" si="3"/>
        <v>0</v>
      </c>
    </row>
    <row r="53">
      <c r="A53" s="26" t="str">
        <f>Actuals!B53</f>
        <v>blank9</v>
      </c>
      <c r="B53" s="33">
        <f>If(Actuals!$A53=1,0, IF(Actuals!C53="",0,rank(NetScoreForPoints!B53,NetScoreForPoints!B$4:B$110,1)))</f>
        <v>0</v>
      </c>
      <c r="C53" s="33">
        <f>If(Actuals!$A53=1,0, IF(Actuals!D53="",0,rank(NetScoreForPoints!C53,NetScoreForPoints!C$4:C$110,1)))</f>
        <v>0</v>
      </c>
      <c r="D53" s="33">
        <f>If(Actuals!$A53=1,0, IF(Actuals!E53="",0,rank(NetScoreForPoints!D53,NetScoreForPoints!D$4:D$110,1)))</f>
        <v>0</v>
      </c>
      <c r="E53" s="33">
        <f>If(Actuals!$A53=1,0, IF(Actuals!F53="",0,rank(NetScoreForPoints!E53,NetScoreForPoints!E$4:E$110,1)))</f>
        <v>0</v>
      </c>
      <c r="F53" s="33">
        <f>If(Actuals!$A53=1,0, IF(Actuals!G53="",0,rank(NetScoreForPoints!F53,NetScoreForPoints!F$4:F$110,1)))</f>
        <v>0</v>
      </c>
      <c r="G53" s="33">
        <f>If(Actuals!$A53=1,0, IF(Actuals!H53="",0,rank(NetScoreForPoints!G53,NetScoreForPoints!G$4:G$110,1)))</f>
        <v>0</v>
      </c>
      <c r="H53" s="33">
        <f>If(Actuals!$A53=1,0, IF(Actuals!I53="",0,rank(NetScoreForPoints!H53,NetScoreForPoints!H$4:H$110,1)))</f>
        <v>0</v>
      </c>
      <c r="I53" s="33">
        <f>If(Actuals!$A53=1,0, IF(Actuals!J53="",0,rank(NetScoreForPoints!I53,NetScoreForPoints!I$4:I$110,1)))</f>
        <v>0</v>
      </c>
      <c r="J53" s="33">
        <f>If(Actuals!$A53=1,0, IF(Actuals!K53="",0,rank(NetScoreForPoints!J53,NetScoreForPoints!J$4:J$110,1)))</f>
        <v>0</v>
      </c>
      <c r="K53" s="33">
        <f>If(Actuals!$A53=1,0, IF(Actuals!L53="",0,rank(NetScoreForPoints!K53,NetScoreForPoints!K$4:K$110,1)))</f>
        <v>0</v>
      </c>
      <c r="L53" s="33">
        <f>If(Actuals!$A53=1,0, IF(Actuals!M53="",0,rank(NetScoreForPoints!L53,NetScoreForPoints!L$4:L$110,1)))</f>
        <v>0</v>
      </c>
      <c r="M53" s="33">
        <f>If(Actuals!$A53=1,0, IF(Actuals!N53="",0,rank(NetScoreForPoints!M53,NetScoreForPoints!M$4:M$110,1)))</f>
        <v>0</v>
      </c>
      <c r="N53" s="33">
        <f>If(Actuals!$A53=1,0, IF(Actuals!O53="",0,rank(NetScoreForPoints!N53,NetScoreForPoints!N$4:N$110,1)))</f>
        <v>0</v>
      </c>
      <c r="O53" s="33">
        <f>If(Actuals!$A53=1,0, IF(Actuals!P53="",0,rank(NetScoreForPoints!O53,NetScoreForPoints!O$4:O$110,1)))</f>
        <v>0</v>
      </c>
      <c r="P53" s="33">
        <f>If(Actuals!$A53=1,0, IF(Actuals!Q53="",0,rank(NetScoreForPoints!P53,NetScoreForPoints!P$4:P$110,1)))</f>
        <v>0</v>
      </c>
      <c r="Q53" s="33">
        <f>If(Actuals!$A53=1,0, IF(Actuals!R53="",0,rank(NetScoreForPoints!Q53,NetScoreForPoints!Q$4:Q$110,1)))</f>
        <v>0</v>
      </c>
      <c r="R53" s="20">
        <f t="shared" si="4"/>
        <v>0</v>
      </c>
      <c r="S53" s="20">
        <f t="shared" si="1"/>
        <v>0</v>
      </c>
      <c r="T53" s="20">
        <f t="shared" si="2"/>
        <v>0</v>
      </c>
      <c r="U53" s="20">
        <f t="shared" si="3"/>
        <v>0</v>
      </c>
    </row>
    <row r="54">
      <c r="A54" s="26" t="str">
        <f>Actuals!B54</f>
        <v>blank10</v>
      </c>
      <c r="B54" s="33">
        <f>If(Actuals!$A54=1,0, IF(Actuals!C54="",0,rank(NetScoreForPoints!B54,NetScoreForPoints!B$4:B$110,1)))</f>
        <v>0</v>
      </c>
      <c r="C54" s="33">
        <f>If(Actuals!$A54=1,0, IF(Actuals!D54="",0,rank(NetScoreForPoints!C54,NetScoreForPoints!C$4:C$110,1)))</f>
        <v>0</v>
      </c>
      <c r="D54" s="33">
        <f>If(Actuals!$A54=1,0, IF(Actuals!E54="",0,rank(NetScoreForPoints!D54,NetScoreForPoints!D$4:D$110,1)))</f>
        <v>0</v>
      </c>
      <c r="E54" s="33">
        <f>If(Actuals!$A54=1,0, IF(Actuals!F54="",0,rank(NetScoreForPoints!E54,NetScoreForPoints!E$4:E$110,1)))</f>
        <v>0</v>
      </c>
      <c r="F54" s="33">
        <f>If(Actuals!$A54=1,0, IF(Actuals!G54="",0,rank(NetScoreForPoints!F54,NetScoreForPoints!F$4:F$110,1)))</f>
        <v>0</v>
      </c>
      <c r="G54" s="33">
        <f>If(Actuals!$A54=1,0, IF(Actuals!H54="",0,rank(NetScoreForPoints!G54,NetScoreForPoints!G$4:G$110,1)))</f>
        <v>0</v>
      </c>
      <c r="H54" s="33">
        <f>If(Actuals!$A54=1,0, IF(Actuals!I54="",0,rank(NetScoreForPoints!H54,NetScoreForPoints!H$4:H$110,1)))</f>
        <v>0</v>
      </c>
      <c r="I54" s="33">
        <f>If(Actuals!$A54=1,0, IF(Actuals!J54="",0,rank(NetScoreForPoints!I54,NetScoreForPoints!I$4:I$110,1)))</f>
        <v>0</v>
      </c>
      <c r="J54" s="33">
        <f>If(Actuals!$A54=1,0, IF(Actuals!K54="",0,rank(NetScoreForPoints!J54,NetScoreForPoints!J$4:J$110,1)))</f>
        <v>0</v>
      </c>
      <c r="K54" s="33">
        <f>If(Actuals!$A54=1,0, IF(Actuals!L54="",0,rank(NetScoreForPoints!K54,NetScoreForPoints!K$4:K$110,1)))</f>
        <v>0</v>
      </c>
      <c r="L54" s="33">
        <f>If(Actuals!$A54=1,0, IF(Actuals!M54="",0,rank(NetScoreForPoints!L54,NetScoreForPoints!L$4:L$110,1)))</f>
        <v>0</v>
      </c>
      <c r="M54" s="33">
        <f>If(Actuals!$A54=1,0, IF(Actuals!N54="",0,rank(NetScoreForPoints!M54,NetScoreForPoints!M$4:M$110,1)))</f>
        <v>0</v>
      </c>
      <c r="N54" s="33">
        <f>If(Actuals!$A54=1,0, IF(Actuals!O54="",0,rank(NetScoreForPoints!N54,NetScoreForPoints!N$4:N$110,1)))</f>
        <v>0</v>
      </c>
      <c r="O54" s="33">
        <f>If(Actuals!$A54=1,0, IF(Actuals!P54="",0,rank(NetScoreForPoints!O54,NetScoreForPoints!O$4:O$110,1)))</f>
        <v>0</v>
      </c>
      <c r="P54" s="33">
        <f>If(Actuals!$A54=1,0, IF(Actuals!Q54="",0,rank(NetScoreForPoints!P54,NetScoreForPoints!P$4:P$110,1)))</f>
        <v>0</v>
      </c>
      <c r="Q54" s="33">
        <f>If(Actuals!$A54=1,0, IF(Actuals!R54="",0,rank(NetScoreForPoints!Q54,NetScoreForPoints!Q$4:Q$110,1)))</f>
        <v>0</v>
      </c>
      <c r="R54" s="20">
        <f t="shared" si="4"/>
        <v>0</v>
      </c>
      <c r="S54" s="20">
        <f t="shared" si="1"/>
        <v>0</v>
      </c>
      <c r="T54" s="20">
        <f t="shared" si="2"/>
        <v>0</v>
      </c>
      <c r="U54" s="20">
        <f t="shared" si="3"/>
        <v>0</v>
      </c>
    </row>
    <row r="55">
      <c r="A55" s="26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20"/>
      <c r="S55" s="20"/>
      <c r="T55" s="20"/>
      <c r="U55" s="20"/>
    </row>
    <row r="56">
      <c r="A56" s="26" t="str">
        <f>Actuals!B67</f>
        <v>League Avg</v>
      </c>
      <c r="B56" s="33">
        <f>If(Actuals!$A64=1,0, IF(Actuals!C64="",0,rank(NetScoreForPoints!B56,NetScoreForPoints!B$4:B$110,1)))</f>
        <v>0</v>
      </c>
      <c r="C56" s="33">
        <f>If(Actuals!$A64=1,0, IF(Actuals!D64="",0,rank(NetScoreForPoints!C56,NetScoreForPoints!C$4:C$110,1)))</f>
        <v>0</v>
      </c>
      <c r="D56" s="33">
        <f>If(Actuals!$A64=1,0, IF(Actuals!E64="",0,rank(NetScoreForPoints!D56,NetScoreForPoints!D$4:D$110,1)))</f>
        <v>0</v>
      </c>
      <c r="E56" s="33">
        <f>If(Actuals!$A64=1,0, IF(Actuals!F64="",0,rank(NetScoreForPoints!E56,NetScoreForPoints!E$4:E$110,1)))</f>
        <v>0</v>
      </c>
      <c r="F56" s="33">
        <f>If(Actuals!$A64=1,0, IF(Actuals!G64="",0,rank(NetScoreForPoints!F56,NetScoreForPoints!F$4:F$110,1)))</f>
        <v>0</v>
      </c>
      <c r="G56" s="33">
        <f>If(Actuals!$A64=1,0, IF(Actuals!H64="",0,rank(NetScoreForPoints!G56,NetScoreForPoints!G$4:G$110,1)))</f>
        <v>0</v>
      </c>
      <c r="H56" s="33">
        <f>If(Actuals!$A64=1,0, IF(Actuals!I64="",0,rank(NetScoreForPoints!H56,NetScoreForPoints!H$4:H$110,1)))</f>
        <v>0</v>
      </c>
      <c r="I56" s="33">
        <f>If(Actuals!$A64=1,0, IF(Actuals!J64="",0,rank(NetScoreForPoints!I56,NetScoreForPoints!I$4:I$110,1)))</f>
        <v>0</v>
      </c>
      <c r="J56" s="33">
        <f>If(Actuals!$A64=1,0, IF(Actuals!K64="",0,rank(NetScoreForPoints!J56,NetScoreForPoints!J$4:J$110,1)))</f>
        <v>0</v>
      </c>
      <c r="K56" s="33">
        <f>If(Actuals!$A64=1,0, IF(Actuals!L64="",0,rank(NetScoreForPoints!K56,NetScoreForPoints!K$4:K$110,1)))</f>
        <v>0</v>
      </c>
      <c r="L56" s="33">
        <f>If(Actuals!$A64=1,0, IF(Actuals!M64="",0,rank(NetScoreForPoints!L56,NetScoreForPoints!L$4:L$110,1)))</f>
        <v>0</v>
      </c>
      <c r="M56" s="33">
        <f>If(Actuals!$A64=1,0, IF(Actuals!N64="",0,rank(NetScoreForPoints!M56,NetScoreForPoints!M$4:M$110,1)))</f>
        <v>0</v>
      </c>
      <c r="N56" s="33">
        <f>If(Actuals!$A64=1,0, IF(Actuals!O64="",0,rank(NetScoreForPoints!N56,NetScoreForPoints!N$4:N$110,1)))</f>
        <v>0</v>
      </c>
      <c r="O56" s="33">
        <f>If(Actuals!$A64=1,0, IF(Actuals!P64="",0,rank(NetScoreForPoints!O56,NetScoreForPoints!O$4:O$110,1)))</f>
        <v>0</v>
      </c>
      <c r="P56" s="33">
        <f>If(Actuals!$A64=1,0, IF(Actuals!Q64="",0,rank(NetScoreForPoints!P56,NetScoreForPoints!P$4:P$110,1)))</f>
        <v>0</v>
      </c>
      <c r="Q56" s="33">
        <f>If(Actuals!$A64=1,0, IF(Actuals!R64="",0,rank(NetScoreForPoints!Q56,NetScoreForPoints!Q$4:Q$110,1)))</f>
        <v>0</v>
      </c>
      <c r="R56" s="20">
        <f t="shared" ref="R56:R57" si="5">countif((B56:Q56),1) </f>
        <v>0</v>
      </c>
      <c r="S56" s="20">
        <f t="shared" ref="S56:S57" si="6">countifs(($B56:$Q56),"&gt; 0", ($B56:$Q56),"&lt;4") </f>
        <v>0</v>
      </c>
      <c r="T56" s="20">
        <f t="shared" ref="T56:T57" si="7">countifs(($B56:$Q56),"&gt; 0", ($B56:$Q56),"&lt;6") </f>
        <v>0</v>
      </c>
      <c r="U56" s="20">
        <f t="shared" ref="U56:U57" si="8">countifs(($B56:$Q56),"&gt; 0", ($B56:$Q56),"&lt;50") </f>
        <v>0</v>
      </c>
    </row>
    <row r="57">
      <c r="A57" s="26" t="str">
        <f>Actuals!B68</f>
        <v>Players</v>
      </c>
      <c r="B57" s="33">
        <f>If(Actuals!$A65=1,0, IF(Actuals!C65="",0,rank(NetScoreForPoints!B57,NetScoreForPoints!B$4:B$110,1)))</f>
        <v>0</v>
      </c>
      <c r="C57" s="33">
        <f>If(Actuals!$A65=1,0, IF(Actuals!D65="",0,rank(NetScoreForPoints!C57,NetScoreForPoints!C$4:C$110,1)))</f>
        <v>0</v>
      </c>
      <c r="D57" s="33">
        <f>If(Actuals!$A65=1,0, IF(Actuals!E65="",0,rank(NetScoreForPoints!D57,NetScoreForPoints!D$4:D$110,1)))</f>
        <v>0</v>
      </c>
      <c r="E57" s="33">
        <f>If(Actuals!$A65=1,0, IF(Actuals!F65="",0,rank(NetScoreForPoints!E57,NetScoreForPoints!E$4:E$110,1)))</f>
        <v>0</v>
      </c>
      <c r="F57" s="33">
        <f>If(Actuals!$A65=1,0, IF(Actuals!G65="",0,rank(NetScoreForPoints!F57,NetScoreForPoints!F$4:F$110,1)))</f>
        <v>0</v>
      </c>
      <c r="G57" s="33">
        <f>If(Actuals!$A65=1,0, IF(Actuals!H65="",0,rank(NetScoreForPoints!G57,NetScoreForPoints!G$4:G$110,1)))</f>
        <v>0</v>
      </c>
      <c r="H57" s="33">
        <f>If(Actuals!$A65=1,0, IF(Actuals!I65="",0,rank(NetScoreForPoints!H57,NetScoreForPoints!H$4:H$110,1)))</f>
        <v>0</v>
      </c>
      <c r="I57" s="33">
        <f>If(Actuals!$A65=1,0, IF(Actuals!J65="",0,rank(NetScoreForPoints!I57,NetScoreForPoints!I$4:I$110,1)))</f>
        <v>0</v>
      </c>
      <c r="J57" s="33">
        <f>If(Actuals!$A65=1,0, IF(Actuals!K65="",0,rank(NetScoreForPoints!J57,NetScoreForPoints!J$4:J$110,1)))</f>
        <v>0</v>
      </c>
      <c r="K57" s="33">
        <f>If(Actuals!$A65=1,0, IF(Actuals!L65="",0,rank(NetScoreForPoints!K57,NetScoreForPoints!K$4:K$110,1)))</f>
        <v>0</v>
      </c>
      <c r="L57" s="33">
        <f>If(Actuals!$A65=1,0, IF(Actuals!M65="",0,rank(NetScoreForPoints!L57,NetScoreForPoints!L$4:L$110,1)))</f>
        <v>0</v>
      </c>
      <c r="M57" s="33">
        <f>If(Actuals!$A65=1,0, IF(Actuals!N65="",0,rank(NetScoreForPoints!M57,NetScoreForPoints!M$4:M$110,1)))</f>
        <v>0</v>
      </c>
      <c r="N57" s="33">
        <f>If(Actuals!$A65=1,0, IF(Actuals!O65="",0,rank(NetScoreForPoints!N57,NetScoreForPoints!N$4:N$110,1)))</f>
        <v>0</v>
      </c>
      <c r="O57" s="33">
        <f>If(Actuals!$A65=1,0, IF(Actuals!P65="",0,rank(NetScoreForPoints!O57,NetScoreForPoints!O$4:O$110,1)))</f>
        <v>0</v>
      </c>
      <c r="P57" s="33">
        <f>If(Actuals!$A65=1,0, IF(Actuals!Q65="",0,rank(NetScoreForPoints!P57,NetScoreForPoints!P$4:P$110,1)))</f>
        <v>0</v>
      </c>
      <c r="Q57" s="33">
        <f>If(Actuals!$A65=1,0, IF(Actuals!R65="",0,rank(NetScoreForPoints!Q57,NetScoreForPoints!Q$4:Q$110,1)))</f>
        <v>0</v>
      </c>
      <c r="R57" s="20">
        <f t="shared" si="5"/>
        <v>0</v>
      </c>
      <c r="S57" s="20">
        <f t="shared" si="6"/>
        <v>0</v>
      </c>
      <c r="T57" s="20">
        <f t="shared" si="7"/>
        <v>0</v>
      </c>
      <c r="U57" s="20">
        <f t="shared" si="8"/>
        <v>0</v>
      </c>
    </row>
  </sheetData>
  <mergeCells count="1">
    <mergeCell ref="B1:Q1"/>
  </mergeCells>
  <conditionalFormatting sqref="B4:Q57">
    <cfRule type="cellIs" dxfId="11" priority="1" operator="equal">
      <formula>1</formula>
    </cfRule>
  </conditionalFormatting>
  <conditionalFormatting sqref="B4:Q57">
    <cfRule type="cellIs" dxfId="12" priority="2" operator="equal">
      <formula>2</formula>
    </cfRule>
  </conditionalFormatting>
  <conditionalFormatting sqref="B4:Q57">
    <cfRule type="cellIs" dxfId="13" priority="3" operator="equal">
      <formula>3</formula>
    </cfRule>
  </conditionalFormatting>
  <conditionalFormatting sqref="B4:Q57">
    <cfRule type="cellIs" dxfId="14" priority="4" operator="equal">
      <formula>4</formula>
    </cfRule>
  </conditionalFormatting>
  <conditionalFormatting sqref="B4:Q57">
    <cfRule type="cellIs" dxfId="15" priority="5" operator="equal">
      <formula>5</formula>
    </cfRule>
  </conditionalFormatting>
  <conditionalFormatting sqref="R4:U57">
    <cfRule type="notContainsBlanks" dxfId="4" priority="6">
      <formula>LEN(TRIM(R4))&gt;0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19" width="8.13"/>
  </cols>
  <sheetData>
    <row r="1">
      <c r="A1" s="6"/>
      <c r="B1" s="3" t="s">
        <v>234</v>
      </c>
      <c r="T1" s="80"/>
      <c r="U1" s="80"/>
      <c r="V1" s="80"/>
      <c r="W1" s="80"/>
      <c r="X1" s="80"/>
      <c r="Y1" s="80"/>
      <c r="Z1" s="80"/>
    </row>
    <row r="2">
      <c r="A2" s="6"/>
      <c r="B2" s="4"/>
      <c r="C2" s="4"/>
      <c r="D2" s="4"/>
      <c r="E2" s="4"/>
      <c r="F2" s="12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80"/>
      <c r="U2" s="80"/>
      <c r="V2" s="80"/>
      <c r="W2" s="80"/>
      <c r="X2" s="80"/>
      <c r="Y2" s="80"/>
      <c r="Z2" s="80"/>
    </row>
    <row r="3">
      <c r="A3" s="16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27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10" t="s">
        <v>235</v>
      </c>
      <c r="S3" s="10" t="s">
        <v>236</v>
      </c>
      <c r="T3" s="80"/>
      <c r="U3" s="80"/>
      <c r="V3" s="80"/>
      <c r="W3" s="80"/>
      <c r="X3" s="80"/>
      <c r="Y3" s="80"/>
      <c r="Z3" s="80"/>
    </row>
    <row r="4">
      <c r="A4" s="16" t="str">
        <f>Actuals!B4</f>
        <v>Adrian C</v>
      </c>
      <c r="B4" s="12" t="str">
        <f>if(Actuals!C4 = "", "",if(Actuals!$A4=1,"",Actuals!C4 + Strokes!B4))</f>
        <v/>
      </c>
      <c r="C4" s="12" t="str">
        <f>if(Actuals!D4 = "", "",if(Actuals!$A4=1,"",Actuals!D4 + Strokes!C4))</f>
        <v/>
      </c>
      <c r="D4" s="12" t="str">
        <f>if(Actuals!E4 = "", "",if(Actuals!$A4=1,"",Actuals!E4 + Strokes!D4))</f>
        <v/>
      </c>
      <c r="E4" s="12" t="str">
        <f>if(Actuals!F4 = "", "",if(Actuals!$A4=1,"",Actuals!F4 + Strokes!E4))</f>
        <v/>
      </c>
      <c r="F4" s="12" t="str">
        <f>if(Actuals!G4 = "", "",if(Actuals!$A4=1,"",Actuals!G4 + Strokes!F4))</f>
        <v/>
      </c>
      <c r="G4" s="12" t="str">
        <f>if(Actuals!H4 = "", "",if(Actuals!$A4=1,"",Actuals!H4 + Strokes!G4))</f>
        <v/>
      </c>
      <c r="H4" s="12" t="str">
        <f>if(Actuals!I4 = "", "",if(Actuals!$A4=1,"",Actuals!I4 + Strokes!H4))</f>
        <v/>
      </c>
      <c r="I4" s="12" t="str">
        <f>if(Actuals!J4 = "", "",if(Actuals!$A4=1,"",Actuals!J4 + Strokes!I4))</f>
        <v/>
      </c>
      <c r="J4" s="12" t="str">
        <f>if(Actuals!K4 = "", "",if(Actuals!$A4=1,"",Actuals!K4 + Strokes!J4))</f>
        <v/>
      </c>
      <c r="K4" s="12" t="str">
        <f>if(Actuals!L4 = "", "",if(Actuals!$A4=1,"",Actuals!L4 + Strokes!K4))</f>
        <v/>
      </c>
      <c r="L4" s="12" t="str">
        <f>if(Actuals!M4 = "", "",if(Actuals!$A4=1,"",Actuals!M4 + Strokes!L4))</f>
        <v/>
      </c>
      <c r="M4" s="12" t="str">
        <f>if(Actuals!N4 = "", "",if(Actuals!$A4=1,"",Actuals!N4 + Strokes!M4))</f>
        <v/>
      </c>
      <c r="N4" s="12" t="str">
        <f>if(Actuals!O4 = "", "",if(Actuals!$A4=1,"",Actuals!O4 + Strokes!N4))</f>
        <v/>
      </c>
      <c r="O4" s="12" t="str">
        <f>if(Actuals!P4 = "", "",if(Actuals!$A4=1,"",Actuals!P4 + Strokes!O4))</f>
        <v/>
      </c>
      <c r="P4" s="12" t="str">
        <f>if(Actuals!Q4 = "", "",if(Actuals!$A4=1,"",Actuals!Q4 + Strokes!P4))</f>
        <v/>
      </c>
      <c r="Q4" s="12" t="str">
        <f>if(Actuals!R4 = "", "",if(Actuals!$A4=1,"",Actuals!R4 + Strokes!Q4))</f>
        <v/>
      </c>
      <c r="R4" s="12" t="str">
        <f>if(#REF! = "", "",if(Actuals!$A4=1,"",#REF! + #REF!))</f>
        <v>#REF!</v>
      </c>
      <c r="S4" s="12" t="str">
        <f>if(#REF! = "", "",if(Actuals!$A4=1,"",#REF! + #REF!))</f>
        <v>#REF!</v>
      </c>
      <c r="T4" s="80"/>
      <c r="U4" s="80"/>
      <c r="V4" s="80"/>
      <c r="W4" s="80"/>
      <c r="X4" s="80"/>
      <c r="Y4" s="80"/>
      <c r="Z4" s="80"/>
    </row>
    <row r="5">
      <c r="A5" s="16" t="str">
        <f>Actuals!B5</f>
        <v>Alan D</v>
      </c>
      <c r="B5" s="12" t="str">
        <f>if(Actuals!C5 = "", "",if(Actuals!$A5=1,"",Actuals!C5 + Strokes!B5))</f>
        <v/>
      </c>
      <c r="C5" s="12" t="str">
        <f>if(Actuals!D5 = "", "",if(Actuals!$A5=1,"",Actuals!D5 + Strokes!C5))</f>
        <v/>
      </c>
      <c r="D5" s="12" t="str">
        <f>if(Actuals!E5 = "", "",if(Actuals!$A5=1,"",Actuals!E5 + Strokes!D5))</f>
        <v/>
      </c>
      <c r="E5" s="12" t="str">
        <f>if(Actuals!F5 = "", "",if(Actuals!$A5=1,"",Actuals!F5 + Strokes!E5))</f>
        <v/>
      </c>
      <c r="F5" s="12" t="str">
        <f>if(Actuals!G5 = "", "",if(Actuals!$A5=1,"",Actuals!G5 + Strokes!F5))</f>
        <v/>
      </c>
      <c r="G5" s="12" t="str">
        <f>if(Actuals!H5 = "", "",if(Actuals!$A5=1,"",Actuals!H5 + Strokes!G5))</f>
        <v/>
      </c>
      <c r="H5" s="12" t="str">
        <f>if(Actuals!I5 = "", "",if(Actuals!$A5=1,"",Actuals!I5 + Strokes!H5))</f>
        <v/>
      </c>
      <c r="I5" s="12" t="str">
        <f>if(Actuals!J5 = "", "",if(Actuals!$A5=1,"",Actuals!J5 + Strokes!I5))</f>
        <v/>
      </c>
      <c r="J5" s="12" t="str">
        <f>if(Actuals!K5 = "", "",if(Actuals!$A5=1,"",Actuals!K5 + Strokes!J5))</f>
        <v/>
      </c>
      <c r="K5" s="12" t="str">
        <f>if(Actuals!L5 = "", "",if(Actuals!$A5=1,"",Actuals!L5 + Strokes!K5))</f>
        <v/>
      </c>
      <c r="L5" s="12" t="str">
        <f>if(Actuals!M5 = "", "",if(Actuals!$A5=1,"",Actuals!M5 + Strokes!L5))</f>
        <v/>
      </c>
      <c r="M5" s="12" t="str">
        <f>if(Actuals!N5 = "", "",if(Actuals!$A5=1,"",Actuals!N5 + Strokes!M5))</f>
        <v/>
      </c>
      <c r="N5" s="12" t="str">
        <f>if(Actuals!O5 = "", "",if(Actuals!$A5=1,"",Actuals!O5 + Strokes!N5))</f>
        <v/>
      </c>
      <c r="O5" s="12" t="str">
        <f>if(Actuals!P5 = "", "",if(Actuals!$A5=1,"",Actuals!P5 + Strokes!O5))</f>
        <v/>
      </c>
      <c r="P5" s="12" t="str">
        <f>if(Actuals!Q5 = "", "",if(Actuals!$A5=1,"",Actuals!Q5 + Strokes!P5))</f>
        <v/>
      </c>
      <c r="Q5" s="12" t="str">
        <f>if(Actuals!R5 = "", "",if(Actuals!$A5=1,"",Actuals!R5 + Strokes!Q5))</f>
        <v/>
      </c>
      <c r="R5" s="12" t="str">
        <f>if(#REF! = "", "",if(Actuals!$A5=1,"",#REF! + #REF!))</f>
        <v>#REF!</v>
      </c>
      <c r="S5" s="12" t="str">
        <f>if(#REF! = "", "",if(Actuals!$A5=1,"",#REF! + #REF!))</f>
        <v>#REF!</v>
      </c>
      <c r="T5" s="80"/>
      <c r="U5" s="80"/>
      <c r="V5" s="80"/>
      <c r="W5" s="80"/>
      <c r="X5" s="80"/>
      <c r="Y5" s="80"/>
      <c r="Z5" s="80"/>
    </row>
    <row r="6">
      <c r="A6" s="16" t="str">
        <f>Actuals!B6</f>
        <v>Baxter C</v>
      </c>
      <c r="B6" s="12" t="str">
        <f>if(Actuals!C6 = "", "",if(Actuals!$A6=1,"",Actuals!C6 + Strokes!B6))</f>
        <v/>
      </c>
      <c r="C6" s="12" t="str">
        <f>if(Actuals!D6 = "", "",if(Actuals!$A6=1,"",Actuals!D6 + Strokes!C6))</f>
        <v/>
      </c>
      <c r="D6" s="12" t="str">
        <f>if(Actuals!E6 = "", "",if(Actuals!$A6=1,"",Actuals!E6 + Strokes!D6))</f>
        <v/>
      </c>
      <c r="E6" s="12" t="str">
        <f>if(Actuals!F6 = "", "",if(Actuals!$A6=1,"",Actuals!F6 + Strokes!E6))</f>
        <v/>
      </c>
      <c r="F6" s="12" t="str">
        <f>if(Actuals!G6 = "", "",if(Actuals!$A6=1,"",Actuals!G6 + Strokes!F6))</f>
        <v/>
      </c>
      <c r="G6" s="12" t="str">
        <f>if(Actuals!H6 = "", "",if(Actuals!$A6=1,"",Actuals!H6 + Strokes!G6))</f>
        <v/>
      </c>
      <c r="H6" s="12" t="str">
        <f>if(Actuals!I6 = "", "",if(Actuals!$A6=1,"",Actuals!I6 + Strokes!H6))</f>
        <v/>
      </c>
      <c r="I6" s="12" t="str">
        <f>if(Actuals!J6 = "", "",if(Actuals!$A6=1,"",Actuals!J6 + Strokes!I6))</f>
        <v/>
      </c>
      <c r="J6" s="12" t="str">
        <f>if(Actuals!K6 = "", "",if(Actuals!$A6=1,"",Actuals!K6 + Strokes!J6))</f>
        <v/>
      </c>
      <c r="K6" s="12" t="str">
        <f>if(Actuals!L6 = "", "",if(Actuals!$A6=1,"",Actuals!L6 + Strokes!K6))</f>
        <v/>
      </c>
      <c r="L6" s="12" t="str">
        <f>if(Actuals!M6 = "", "",if(Actuals!$A6=1,"",Actuals!M6 + Strokes!L6))</f>
        <v/>
      </c>
      <c r="M6" s="12" t="str">
        <f>if(Actuals!N6 = "", "",if(Actuals!$A6=1,"",Actuals!N6 + Strokes!M6))</f>
        <v/>
      </c>
      <c r="N6" s="12" t="str">
        <f>if(Actuals!O6 = "", "",if(Actuals!$A6=1,"",Actuals!O6 + Strokes!N6))</f>
        <v/>
      </c>
      <c r="O6" s="12" t="str">
        <f>if(Actuals!P6 = "", "",if(Actuals!$A6=1,"",Actuals!P6 + Strokes!O6))</f>
        <v/>
      </c>
      <c r="P6" s="12" t="str">
        <f>if(Actuals!Q6 = "", "",if(Actuals!$A6=1,"",Actuals!Q6 + Strokes!P6))</f>
        <v/>
      </c>
      <c r="Q6" s="12" t="str">
        <f>if(Actuals!R6 = "", "",if(Actuals!$A6=1,"",Actuals!R6 + Strokes!Q6))</f>
        <v/>
      </c>
      <c r="R6" s="12" t="str">
        <f>if(#REF! = "", "",if(Actuals!$A6=1,"",#REF! + #REF!))</f>
        <v>#REF!</v>
      </c>
      <c r="S6" s="12" t="str">
        <f>if(#REF! = "", "",if(Actuals!$A6=1,"",#REF! + #REF!))</f>
        <v>#REF!</v>
      </c>
      <c r="T6" s="80"/>
      <c r="U6" s="80"/>
      <c r="V6" s="80"/>
      <c r="W6" s="80"/>
      <c r="X6" s="80"/>
      <c r="Y6" s="80"/>
      <c r="Z6" s="80"/>
    </row>
    <row r="7">
      <c r="A7" s="16" t="str">
        <f>Actuals!B7</f>
        <v>Bill Morton</v>
      </c>
      <c r="B7" s="12" t="str">
        <f>if(Actuals!C7 = "", "",if(Actuals!$A7=1,"",Actuals!C7 + Strokes!B7))</f>
        <v/>
      </c>
      <c r="C7" s="12" t="str">
        <f>if(Actuals!D7 = "", "",if(Actuals!$A7=1,"",Actuals!D7 + Strokes!C7))</f>
        <v/>
      </c>
      <c r="D7" s="12" t="str">
        <f>if(Actuals!E7 = "", "",if(Actuals!$A7=1,"",Actuals!E7 + Strokes!D7))</f>
        <v/>
      </c>
      <c r="E7" s="12" t="str">
        <f>if(Actuals!F7 = "", "",if(Actuals!$A7=1,"",Actuals!F7 + Strokes!E7))</f>
        <v/>
      </c>
      <c r="F7" s="12" t="str">
        <f>if(Actuals!G7 = "", "",if(Actuals!$A7=1,"",Actuals!G7 + Strokes!F7))</f>
        <v/>
      </c>
      <c r="G7" s="12" t="str">
        <f>if(Actuals!H7 = "", "",if(Actuals!$A7=1,"",Actuals!H7 + Strokes!G7))</f>
        <v/>
      </c>
      <c r="H7" s="12" t="str">
        <f>if(Actuals!I7 = "", "",if(Actuals!$A7=1,"",Actuals!I7 + Strokes!H7))</f>
        <v/>
      </c>
      <c r="I7" s="12" t="str">
        <f>if(Actuals!J7 = "", "",if(Actuals!$A7=1,"",Actuals!J7 + Strokes!I7))</f>
        <v/>
      </c>
      <c r="J7" s="12" t="str">
        <f>if(Actuals!K7 = "", "",if(Actuals!$A7=1,"",Actuals!K7 + Strokes!J7))</f>
        <v/>
      </c>
      <c r="K7" s="12" t="str">
        <f>if(Actuals!L7 = "", "",if(Actuals!$A7=1,"",Actuals!L7 + Strokes!K7))</f>
        <v/>
      </c>
      <c r="L7" s="12" t="str">
        <f>if(Actuals!M7 = "", "",if(Actuals!$A7=1,"",Actuals!M7 + Strokes!L7))</f>
        <v/>
      </c>
      <c r="M7" s="12" t="str">
        <f>if(Actuals!N7 = "", "",if(Actuals!$A7=1,"",Actuals!N7 + Strokes!M7))</f>
        <v/>
      </c>
      <c r="N7" s="12" t="str">
        <f>if(Actuals!O7 = "", "",if(Actuals!$A7=1,"",Actuals!O7 + Strokes!N7))</f>
        <v/>
      </c>
      <c r="O7" s="12" t="str">
        <f>if(Actuals!P7 = "", "",if(Actuals!$A7=1,"",Actuals!P7 + Strokes!O7))</f>
        <v/>
      </c>
      <c r="P7" s="12" t="str">
        <f>if(Actuals!Q7 = "", "",if(Actuals!$A7=1,"",Actuals!Q7 + Strokes!P7))</f>
        <v/>
      </c>
      <c r="Q7" s="12" t="str">
        <f>if(Actuals!R7 = "", "",if(Actuals!$A7=1,"",Actuals!R7 + Strokes!Q7))</f>
        <v/>
      </c>
      <c r="R7" s="12" t="str">
        <f>if(#REF! = "", "",if(Actuals!$A7=1,"",#REF! + #REF!))</f>
        <v>#REF!</v>
      </c>
      <c r="S7" s="12" t="str">
        <f>if(#REF! = "", "",if(Actuals!$A7=1,"",#REF! + #REF!))</f>
        <v>#REF!</v>
      </c>
      <c r="T7" s="80"/>
      <c r="U7" s="80"/>
      <c r="V7" s="80"/>
      <c r="W7" s="80"/>
      <c r="X7" s="80"/>
      <c r="Y7" s="80"/>
      <c r="Z7" s="80"/>
    </row>
    <row r="8">
      <c r="A8" s="16" t="str">
        <f>Actuals!B8</f>
        <v>Brian M</v>
      </c>
      <c r="B8" s="12">
        <f>if(Actuals!C8 = "", "",if(Actuals!$A8=1,"",Actuals!C8 + Strokes!B8))</f>
        <v>32.7</v>
      </c>
      <c r="C8" s="12">
        <f>if(Actuals!D8 = "", "",if(Actuals!$A8=1,"",Actuals!D8 + Strokes!C8))</f>
        <v>34.7</v>
      </c>
      <c r="D8" s="12">
        <f>if(Actuals!E8 = "", "",if(Actuals!$A8=1,"",Actuals!E8 + Strokes!D8))</f>
        <v>37.6</v>
      </c>
      <c r="E8" s="12" t="str">
        <f>if(Actuals!F8 = "", "",if(Actuals!$A8=1,"",Actuals!F8 + Strokes!E8))</f>
        <v/>
      </c>
      <c r="F8" s="12" t="str">
        <f>if(Actuals!G8 = "", "",if(Actuals!$A8=1,"",Actuals!G8 + Strokes!F8))</f>
        <v/>
      </c>
      <c r="G8" s="12" t="str">
        <f>if(Actuals!H8 = "", "",if(Actuals!$A8=1,"",Actuals!H8 + Strokes!G8))</f>
        <v/>
      </c>
      <c r="H8" s="12" t="str">
        <f>if(Actuals!I8 = "", "",if(Actuals!$A8=1,"",Actuals!I8 + Strokes!H8))</f>
        <v/>
      </c>
      <c r="I8" s="12" t="str">
        <f>if(Actuals!J8 = "", "",if(Actuals!$A8=1,"",Actuals!J8 + Strokes!I8))</f>
        <v/>
      </c>
      <c r="J8" s="12" t="str">
        <f>if(Actuals!K8 = "", "",if(Actuals!$A8=1,"",Actuals!K8 + Strokes!J8))</f>
        <v/>
      </c>
      <c r="K8" s="12" t="str">
        <f>if(Actuals!L8 = "", "",if(Actuals!$A8=1,"",Actuals!L8 + Strokes!K8))</f>
        <v/>
      </c>
      <c r="L8" s="12" t="str">
        <f>if(Actuals!M8 = "", "",if(Actuals!$A8=1,"",Actuals!M8 + Strokes!L8))</f>
        <v/>
      </c>
      <c r="M8" s="12" t="str">
        <f>if(Actuals!N8 = "", "",if(Actuals!$A8=1,"",Actuals!N8 + Strokes!M8))</f>
        <v/>
      </c>
      <c r="N8" s="12" t="str">
        <f>if(Actuals!O8 = "", "",if(Actuals!$A8=1,"",Actuals!O8 + Strokes!N8))</f>
        <v/>
      </c>
      <c r="O8" s="12" t="str">
        <f>if(Actuals!P8 = "", "",if(Actuals!$A8=1,"",Actuals!P8 + Strokes!O8))</f>
        <v/>
      </c>
      <c r="P8" s="12" t="str">
        <f>if(Actuals!Q8 = "", "",if(Actuals!$A8=1,"",Actuals!Q8 + Strokes!P8))</f>
        <v/>
      </c>
      <c r="Q8" s="12" t="str">
        <f>if(Actuals!R8 = "", "",if(Actuals!$A8=1,"",Actuals!R8 + Strokes!Q8))</f>
        <v/>
      </c>
      <c r="R8" s="12" t="str">
        <f>if(#REF! = "", "",if(Actuals!$A8=1,"",#REF! + #REF!))</f>
        <v>#REF!</v>
      </c>
      <c r="S8" s="12" t="str">
        <f>if(#REF! = "", "",if(Actuals!$A8=1,"",#REF! + #REF!))</f>
        <v>#REF!</v>
      </c>
      <c r="T8" s="80"/>
      <c r="U8" s="80"/>
      <c r="V8" s="80"/>
      <c r="W8" s="80"/>
      <c r="X8" s="80"/>
      <c r="Y8" s="80"/>
      <c r="Z8" s="80"/>
    </row>
    <row r="9">
      <c r="A9" s="16" t="str">
        <f>Actuals!B9</f>
        <v>Bruce Marburger</v>
      </c>
      <c r="B9" s="12">
        <f>if(Actuals!C9 = "", "",if(Actuals!$A9=1,"",Actuals!C9 + Strokes!B9))</f>
        <v>38.1</v>
      </c>
      <c r="C9" s="12" t="str">
        <f>if(Actuals!D9 = "", "",if(Actuals!$A9=1,"",Actuals!D9 + Strokes!C9))</f>
        <v/>
      </c>
      <c r="D9" s="12" t="str">
        <f>if(Actuals!E9 = "", "",if(Actuals!$A9=1,"",Actuals!E9 + Strokes!D9))</f>
        <v/>
      </c>
      <c r="E9" s="12" t="str">
        <f>if(Actuals!F9 = "", "",if(Actuals!$A9=1,"",Actuals!F9 + Strokes!E9))</f>
        <v/>
      </c>
      <c r="F9" s="12" t="str">
        <f>if(Actuals!G9 = "", "",if(Actuals!$A9=1,"",Actuals!G9 + Strokes!F9))</f>
        <v/>
      </c>
      <c r="G9" s="12" t="str">
        <f>if(Actuals!H9 = "", "",if(Actuals!$A9=1,"",Actuals!H9 + Strokes!G9))</f>
        <v/>
      </c>
      <c r="H9" s="12" t="str">
        <f>if(Actuals!I9 = "", "",if(Actuals!$A9=1,"",Actuals!I9 + Strokes!H9))</f>
        <v/>
      </c>
      <c r="I9" s="12" t="str">
        <f>if(Actuals!J9 = "", "",if(Actuals!$A9=1,"",Actuals!J9 + Strokes!I9))</f>
        <v/>
      </c>
      <c r="J9" s="12" t="str">
        <f>if(Actuals!K9 = "", "",if(Actuals!$A9=1,"",Actuals!K9 + Strokes!J9))</f>
        <v/>
      </c>
      <c r="K9" s="12" t="str">
        <f>if(Actuals!L9 = "", "",if(Actuals!$A9=1,"",Actuals!L9 + Strokes!K9))</f>
        <v/>
      </c>
      <c r="L9" s="12" t="str">
        <f>if(Actuals!M9 = "", "",if(Actuals!$A9=1,"",Actuals!M9 + Strokes!L9))</f>
        <v/>
      </c>
      <c r="M9" s="12" t="str">
        <f>if(Actuals!N9 = "", "",if(Actuals!$A9=1,"",Actuals!N9 + Strokes!M9))</f>
        <v/>
      </c>
      <c r="N9" s="12" t="str">
        <f>if(Actuals!O9 = "", "",if(Actuals!$A9=1,"",Actuals!O9 + Strokes!N9))</f>
        <v/>
      </c>
      <c r="O9" s="12" t="str">
        <f>if(Actuals!P9 = "", "",if(Actuals!$A9=1,"",Actuals!P9 + Strokes!O9))</f>
        <v/>
      </c>
      <c r="P9" s="12" t="str">
        <f>if(Actuals!Q9 = "", "",if(Actuals!$A9=1,"",Actuals!Q9 + Strokes!P9))</f>
        <v/>
      </c>
      <c r="Q9" s="12" t="str">
        <f>if(Actuals!R9 = "", "",if(Actuals!$A9=1,"",Actuals!R9 + Strokes!Q9))</f>
        <v/>
      </c>
      <c r="R9" s="12" t="str">
        <f>if(#REF! = "", "",if(Actuals!$A9=1,"",#REF! + #REF!))</f>
        <v>#REF!</v>
      </c>
      <c r="S9" s="12" t="str">
        <f>if(#REF! = "", "",if(Actuals!$A9=1,"",#REF! + #REF!))</f>
        <v>#REF!</v>
      </c>
      <c r="T9" s="80"/>
      <c r="U9" s="80"/>
      <c r="V9" s="80"/>
      <c r="W9" s="80"/>
      <c r="X9" s="80"/>
      <c r="Y9" s="80"/>
      <c r="Z9" s="80"/>
    </row>
    <row r="10">
      <c r="A10" s="16" t="str">
        <f>Actuals!B10</f>
        <v>Cole L</v>
      </c>
      <c r="B10" s="12" t="str">
        <f>if(Actuals!C10 = "", "",if(Actuals!$A10=1,"",Actuals!C10 + Strokes!B10))</f>
        <v/>
      </c>
      <c r="C10" s="12" t="str">
        <f>if(Actuals!D10 = "", "",if(Actuals!$A10=1,"",Actuals!D10 + Strokes!C10))</f>
        <v/>
      </c>
      <c r="D10" s="12" t="str">
        <f>if(Actuals!E10 = "", "",if(Actuals!$A10=1,"",Actuals!E10 + Strokes!D10))</f>
        <v/>
      </c>
      <c r="E10" s="12" t="str">
        <f>if(Actuals!F10 = "", "",if(Actuals!$A10=1,"",Actuals!F10 + Strokes!E10))</f>
        <v/>
      </c>
      <c r="F10" s="12" t="str">
        <f>if(Actuals!G10 = "", "",if(Actuals!$A10=1,"",Actuals!G10 + Strokes!F10))</f>
        <v/>
      </c>
      <c r="G10" s="12" t="str">
        <f>if(Actuals!H10 = "", "",if(Actuals!$A10=1,"",Actuals!H10 + Strokes!G10))</f>
        <v/>
      </c>
      <c r="H10" s="12" t="str">
        <f>if(Actuals!I10 = "", "",if(Actuals!$A10=1,"",Actuals!I10 + Strokes!H10))</f>
        <v/>
      </c>
      <c r="I10" s="12" t="str">
        <f>if(Actuals!J10 = "", "",if(Actuals!$A10=1,"",Actuals!J10 + Strokes!I10))</f>
        <v/>
      </c>
      <c r="J10" s="12" t="str">
        <f>if(Actuals!K10 = "", "",if(Actuals!$A10=1,"",Actuals!K10 + Strokes!J10))</f>
        <v/>
      </c>
      <c r="K10" s="12" t="str">
        <f>if(Actuals!L10 = "", "",if(Actuals!$A10=1,"",Actuals!L10 + Strokes!K10))</f>
        <v/>
      </c>
      <c r="L10" s="12" t="str">
        <f>if(Actuals!M10 = "", "",if(Actuals!$A10=1,"",Actuals!M10 + Strokes!L10))</f>
        <v/>
      </c>
      <c r="M10" s="12" t="str">
        <f>if(Actuals!N10 = "", "",if(Actuals!$A10=1,"",Actuals!N10 + Strokes!M10))</f>
        <v/>
      </c>
      <c r="N10" s="12" t="str">
        <f>if(Actuals!O10 = "", "",if(Actuals!$A10=1,"",Actuals!O10 + Strokes!N10))</f>
        <v/>
      </c>
      <c r="O10" s="12" t="str">
        <f>if(Actuals!P10 = "", "",if(Actuals!$A10=1,"",Actuals!P10 + Strokes!O10))</f>
        <v/>
      </c>
      <c r="P10" s="12" t="str">
        <f>if(Actuals!Q10 = "", "",if(Actuals!$A10=1,"",Actuals!Q10 + Strokes!P10))</f>
        <v/>
      </c>
      <c r="Q10" s="12" t="str">
        <f>if(Actuals!R10 = "", "",if(Actuals!$A10=1,"",Actuals!R10 + Strokes!Q10))</f>
        <v/>
      </c>
      <c r="R10" s="12" t="str">
        <f>if(#REF! = "", "",if(Actuals!$A10=1,"",#REF! + #REF!))</f>
        <v>#REF!</v>
      </c>
      <c r="S10" s="12" t="str">
        <f>if(#REF! = "", "",if(Actuals!$A10=1,"",#REF! + #REF!))</f>
        <v>#REF!</v>
      </c>
      <c r="T10" s="80"/>
      <c r="U10" s="80"/>
      <c r="V10" s="80"/>
      <c r="W10" s="80"/>
      <c r="X10" s="80"/>
      <c r="Y10" s="80"/>
      <c r="Z10" s="80"/>
    </row>
    <row r="11">
      <c r="A11" s="16" t="str">
        <f>Actuals!B11</f>
        <v>Danny C</v>
      </c>
      <c r="B11" s="12" t="str">
        <f>if(Actuals!C11 = "", "",if(Actuals!$A11=1,"",Actuals!C11 + Strokes!B11))</f>
        <v/>
      </c>
      <c r="C11" s="12" t="str">
        <f>if(Actuals!D11 = "", "",if(Actuals!$A11=1,"",Actuals!D11 + Strokes!C11))</f>
        <v/>
      </c>
      <c r="D11" s="12" t="str">
        <f>if(Actuals!E11 = "", "",if(Actuals!$A11=1,"",Actuals!E11 + Strokes!D11))</f>
        <v/>
      </c>
      <c r="E11" s="12" t="str">
        <f>if(Actuals!F11 = "", "",if(Actuals!$A11=1,"",Actuals!F11 + Strokes!E11))</f>
        <v/>
      </c>
      <c r="F11" s="12" t="str">
        <f>if(Actuals!G11 = "", "",if(Actuals!$A11=1,"",Actuals!G11 + Strokes!F11))</f>
        <v/>
      </c>
      <c r="G11" s="12" t="str">
        <f>if(Actuals!H11 = "", "",if(Actuals!$A11=1,"",Actuals!H11 + Strokes!G11))</f>
        <v/>
      </c>
      <c r="H11" s="12" t="str">
        <f>if(Actuals!I11 = "", "",if(Actuals!$A11=1,"",Actuals!I11 + Strokes!H11))</f>
        <v/>
      </c>
      <c r="I11" s="12" t="str">
        <f>if(Actuals!J11 = "", "",if(Actuals!$A11=1,"",Actuals!J11 + Strokes!I11))</f>
        <v/>
      </c>
      <c r="J11" s="12" t="str">
        <f>if(Actuals!K11 = "", "",if(Actuals!$A11=1,"",Actuals!K11 + Strokes!J11))</f>
        <v/>
      </c>
      <c r="K11" s="12" t="str">
        <f>if(Actuals!L11 = "", "",if(Actuals!$A11=1,"",Actuals!L11 + Strokes!K11))</f>
        <v/>
      </c>
      <c r="L11" s="12" t="str">
        <f>if(Actuals!M11 = "", "",if(Actuals!$A11=1,"",Actuals!M11 + Strokes!L11))</f>
        <v/>
      </c>
      <c r="M11" s="12" t="str">
        <f>if(Actuals!N11 = "", "",if(Actuals!$A11=1,"",Actuals!N11 + Strokes!M11))</f>
        <v/>
      </c>
      <c r="N11" s="12" t="str">
        <f>if(Actuals!O11 = "", "",if(Actuals!$A11=1,"",Actuals!O11 + Strokes!N11))</f>
        <v/>
      </c>
      <c r="O11" s="12" t="str">
        <f>if(Actuals!P11 = "", "",if(Actuals!$A11=1,"",Actuals!P11 + Strokes!O11))</f>
        <v/>
      </c>
      <c r="P11" s="12" t="str">
        <f>if(Actuals!Q11 = "", "",if(Actuals!$A11=1,"",Actuals!Q11 + Strokes!P11))</f>
        <v/>
      </c>
      <c r="Q11" s="12" t="str">
        <f>if(Actuals!R11 = "", "",if(Actuals!$A11=1,"",Actuals!R11 + Strokes!Q11))</f>
        <v/>
      </c>
      <c r="R11" s="12" t="str">
        <f>if(#REF! = "", "",if(Actuals!$A11=1,"",#REF! + #REF!))</f>
        <v>#REF!</v>
      </c>
      <c r="S11" s="12" t="str">
        <f>if(#REF! = "", "",if(Actuals!$A11=1,"",#REF! + #REF!))</f>
        <v>#REF!</v>
      </c>
      <c r="T11" s="80"/>
      <c r="U11" s="80"/>
      <c r="V11" s="80"/>
      <c r="W11" s="80"/>
      <c r="X11" s="80"/>
      <c r="Y11" s="80"/>
      <c r="Z11" s="80"/>
    </row>
    <row r="12">
      <c r="A12" s="16" t="str">
        <f>Actuals!B12</f>
        <v>Eddie G</v>
      </c>
      <c r="B12" s="12" t="str">
        <f>if(Actuals!C12 = "", "",if(Actuals!$A12=1,"",Actuals!C12 + Strokes!B12))</f>
        <v/>
      </c>
      <c r="C12" s="12" t="str">
        <f>if(Actuals!D12 = "", "",if(Actuals!$A12=1,"",Actuals!D12 + Strokes!C12))</f>
        <v/>
      </c>
      <c r="D12" s="12" t="str">
        <f>if(Actuals!E12 = "", "",if(Actuals!$A12=1,"",Actuals!E12 + Strokes!D12))</f>
        <v/>
      </c>
      <c r="E12" s="12" t="str">
        <f>if(Actuals!F12 = "", "",if(Actuals!$A12=1,"",Actuals!F12 + Strokes!E12))</f>
        <v/>
      </c>
      <c r="F12" s="12" t="str">
        <f>if(Actuals!G12 = "", "",if(Actuals!$A12=1,"",Actuals!G12 + Strokes!F12))</f>
        <v/>
      </c>
      <c r="G12" s="12" t="str">
        <f>if(Actuals!H12 = "", "",if(Actuals!$A12=1,"",Actuals!H12 + Strokes!G12))</f>
        <v/>
      </c>
      <c r="H12" s="12" t="str">
        <f>if(Actuals!I12 = "", "",if(Actuals!$A12=1,"",Actuals!I12 + Strokes!H12))</f>
        <v/>
      </c>
      <c r="I12" s="12" t="str">
        <f>if(Actuals!J12 = "", "",if(Actuals!$A12=1,"",Actuals!J12 + Strokes!I12))</f>
        <v/>
      </c>
      <c r="J12" s="12" t="str">
        <f>if(Actuals!K12 = "", "",if(Actuals!$A12=1,"",Actuals!K12 + Strokes!J12))</f>
        <v/>
      </c>
      <c r="K12" s="12" t="str">
        <f>if(Actuals!L12 = "", "",if(Actuals!$A12=1,"",Actuals!L12 + Strokes!K12))</f>
        <v/>
      </c>
      <c r="L12" s="12" t="str">
        <f>if(Actuals!M12 = "", "",if(Actuals!$A12=1,"",Actuals!M12 + Strokes!L12))</f>
        <v/>
      </c>
      <c r="M12" s="12" t="str">
        <f>if(Actuals!N12 = "", "",if(Actuals!$A12=1,"",Actuals!N12 + Strokes!M12))</f>
        <v/>
      </c>
      <c r="N12" s="12" t="str">
        <f>if(Actuals!O12 = "", "",if(Actuals!$A12=1,"",Actuals!O12 + Strokes!N12))</f>
        <v/>
      </c>
      <c r="O12" s="12" t="str">
        <f>if(Actuals!P12 = "", "",if(Actuals!$A12=1,"",Actuals!P12 + Strokes!O12))</f>
        <v/>
      </c>
      <c r="P12" s="12" t="str">
        <f>if(Actuals!Q12 = "", "",if(Actuals!$A12=1,"",Actuals!Q12 + Strokes!P12))</f>
        <v/>
      </c>
      <c r="Q12" s="12" t="str">
        <f>if(Actuals!R12 = "", "",if(Actuals!$A12=1,"",Actuals!R12 + Strokes!Q12))</f>
        <v/>
      </c>
      <c r="R12" s="12" t="str">
        <f>if(#REF! = "", "",if(Actuals!$A12=1,"",#REF! + #REF!))</f>
        <v>#REF!</v>
      </c>
      <c r="S12" s="12" t="str">
        <f>if(#REF! = "", "",if(Actuals!$A12=1,"",#REF! + #REF!))</f>
        <v>#REF!</v>
      </c>
      <c r="T12" s="80"/>
      <c r="U12" s="80"/>
      <c r="V12" s="80"/>
      <c r="W12" s="80"/>
      <c r="X12" s="80"/>
      <c r="Y12" s="80"/>
      <c r="Z12" s="80"/>
    </row>
    <row r="13">
      <c r="A13" s="16" t="str">
        <f>Actuals!B13</f>
        <v>Grant G</v>
      </c>
      <c r="B13" s="12" t="str">
        <f>if(Actuals!C13 = "", "",if(Actuals!$A13=1,"",Actuals!C13 + Strokes!B13))</f>
        <v/>
      </c>
      <c r="C13" s="12" t="str">
        <f>if(Actuals!D13 = "", "",if(Actuals!$A13=1,"",Actuals!D13 + Strokes!C13))</f>
        <v/>
      </c>
      <c r="D13" s="12" t="str">
        <f>if(Actuals!E13 = "", "",if(Actuals!$A13=1,"",Actuals!E13 + Strokes!D13))</f>
        <v/>
      </c>
      <c r="E13" s="12" t="str">
        <f>if(Actuals!F13 = "", "",if(Actuals!$A13=1,"",Actuals!F13 + Strokes!E13))</f>
        <v/>
      </c>
      <c r="F13" s="12" t="str">
        <f>if(Actuals!G13 = "", "",if(Actuals!$A13=1,"",Actuals!G13 + Strokes!F13))</f>
        <v/>
      </c>
      <c r="G13" s="12" t="str">
        <f>if(Actuals!H13 = "", "",if(Actuals!$A13=1,"",Actuals!H13 + Strokes!G13))</f>
        <v/>
      </c>
      <c r="H13" s="12" t="str">
        <f>if(Actuals!I13 = "", "",if(Actuals!$A13=1,"",Actuals!I13 + Strokes!H13))</f>
        <v/>
      </c>
      <c r="I13" s="12" t="str">
        <f>if(Actuals!J13 = "", "",if(Actuals!$A13=1,"",Actuals!J13 + Strokes!I13))</f>
        <v/>
      </c>
      <c r="J13" s="12" t="str">
        <f>if(Actuals!K13 = "", "",if(Actuals!$A13=1,"",Actuals!K13 + Strokes!J13))</f>
        <v/>
      </c>
      <c r="K13" s="12" t="str">
        <f>if(Actuals!L13 = "", "",if(Actuals!$A13=1,"",Actuals!L13 + Strokes!K13))</f>
        <v/>
      </c>
      <c r="L13" s="12" t="str">
        <f>if(Actuals!M13 = "", "",if(Actuals!$A13=1,"",Actuals!M13 + Strokes!L13))</f>
        <v/>
      </c>
      <c r="M13" s="12" t="str">
        <f>if(Actuals!N13 = "", "",if(Actuals!$A13=1,"",Actuals!N13 + Strokes!M13))</f>
        <v/>
      </c>
      <c r="N13" s="12" t="str">
        <f>if(Actuals!O13 = "", "",if(Actuals!$A13=1,"",Actuals!O13 + Strokes!N13))</f>
        <v/>
      </c>
      <c r="O13" s="12" t="str">
        <f>if(Actuals!P13 = "", "",if(Actuals!$A13=1,"",Actuals!P13 + Strokes!O13))</f>
        <v/>
      </c>
      <c r="P13" s="12" t="str">
        <f>if(Actuals!Q13 = "", "",if(Actuals!$A13=1,"",Actuals!Q13 + Strokes!P13))</f>
        <v/>
      </c>
      <c r="Q13" s="12" t="str">
        <f>if(Actuals!R13 = "", "",if(Actuals!$A13=1,"",Actuals!R13 + Strokes!Q13))</f>
        <v/>
      </c>
      <c r="R13" s="12" t="str">
        <f>if(#REF! = "", "",if(Actuals!$A13=1,"",#REF! + #REF!))</f>
        <v>#REF!</v>
      </c>
      <c r="S13" s="12" t="str">
        <f>if(#REF! = "", "",if(Actuals!$A13=1,"",#REF! + #REF!))</f>
        <v>#REF!</v>
      </c>
      <c r="T13" s="80"/>
      <c r="U13" s="80"/>
      <c r="V13" s="80"/>
      <c r="W13" s="80"/>
      <c r="X13" s="80"/>
      <c r="Y13" s="80"/>
      <c r="Z13" s="80"/>
    </row>
    <row r="14">
      <c r="A14" s="16" t="str">
        <f>Actuals!B14</f>
        <v>Jeff H</v>
      </c>
      <c r="B14" s="12" t="str">
        <f>if(Actuals!C14 = "", "",if(Actuals!$A14=1,"",Actuals!C14 + Strokes!B14))</f>
        <v/>
      </c>
      <c r="C14" s="12" t="str">
        <f>if(Actuals!D14 = "", "",if(Actuals!$A14=1,"",Actuals!D14 + Strokes!C14))</f>
        <v/>
      </c>
      <c r="D14" s="12" t="str">
        <f>if(Actuals!E14 = "", "",if(Actuals!$A14=1,"",Actuals!E14 + Strokes!D14))</f>
        <v/>
      </c>
      <c r="E14" s="12" t="str">
        <f>if(Actuals!F14 = "", "",if(Actuals!$A14=1,"",Actuals!F14 + Strokes!E14))</f>
        <v/>
      </c>
      <c r="F14" s="12" t="str">
        <f>if(Actuals!G14 = "", "",if(Actuals!$A14=1,"",Actuals!G14 + Strokes!F14))</f>
        <v/>
      </c>
      <c r="G14" s="12" t="str">
        <f>if(Actuals!H14 = "", "",if(Actuals!$A14=1,"",Actuals!H14 + Strokes!G14))</f>
        <v/>
      </c>
      <c r="H14" s="12" t="str">
        <f>if(Actuals!I14 = "", "",if(Actuals!$A14=1,"",Actuals!I14 + Strokes!H14))</f>
        <v/>
      </c>
      <c r="I14" s="12" t="str">
        <f>if(Actuals!J14 = "", "",if(Actuals!$A14=1,"",Actuals!J14 + Strokes!I14))</f>
        <v/>
      </c>
      <c r="J14" s="12" t="str">
        <f>if(Actuals!K14 = "", "",if(Actuals!$A14=1,"",Actuals!K14 + Strokes!J14))</f>
        <v/>
      </c>
      <c r="K14" s="12" t="str">
        <f>if(Actuals!L14 = "", "",if(Actuals!$A14=1,"",Actuals!L14 + Strokes!K14))</f>
        <v/>
      </c>
      <c r="L14" s="12" t="str">
        <f>if(Actuals!M14 = "", "",if(Actuals!$A14=1,"",Actuals!M14 + Strokes!L14))</f>
        <v/>
      </c>
      <c r="M14" s="12" t="str">
        <f>if(Actuals!N14 = "", "",if(Actuals!$A14=1,"",Actuals!N14 + Strokes!M14))</f>
        <v/>
      </c>
      <c r="N14" s="12" t="str">
        <f>if(Actuals!O14 = "", "",if(Actuals!$A14=1,"",Actuals!O14 + Strokes!N14))</f>
        <v/>
      </c>
      <c r="O14" s="12" t="str">
        <f>if(Actuals!P14 = "", "",if(Actuals!$A14=1,"",Actuals!P14 + Strokes!O14))</f>
        <v/>
      </c>
      <c r="P14" s="12" t="str">
        <f>if(Actuals!Q14 = "", "",if(Actuals!$A14=1,"",Actuals!Q14 + Strokes!P14))</f>
        <v/>
      </c>
      <c r="Q14" s="12" t="str">
        <f>if(Actuals!R14 = "", "",if(Actuals!$A14=1,"",Actuals!R14 + Strokes!Q14))</f>
        <v/>
      </c>
      <c r="R14" s="12" t="str">
        <f>if(#REF! = "", "",if(Actuals!$A14=1,"",#REF! + #REF!))</f>
        <v>#REF!</v>
      </c>
      <c r="S14" s="12" t="str">
        <f>if(#REF! = "", "",if(Actuals!$A14=1,"",#REF! + #REF!))</f>
        <v>#REF!</v>
      </c>
      <c r="T14" s="80"/>
      <c r="U14" s="80"/>
      <c r="V14" s="80"/>
      <c r="W14" s="80"/>
      <c r="X14" s="80"/>
      <c r="Y14" s="80"/>
      <c r="Z14" s="80"/>
    </row>
    <row r="15">
      <c r="A15" s="16" t="str">
        <f>Actuals!B15</f>
        <v>Jenna T</v>
      </c>
      <c r="B15" s="12" t="str">
        <f>if(Actuals!C15 = "", "",if(Actuals!$A15=1,"",Actuals!C15 + Strokes!B15))</f>
        <v/>
      </c>
      <c r="C15" s="12" t="str">
        <f>if(Actuals!D15 = "", "",if(Actuals!$A15=1,"",Actuals!D15 + Strokes!C15))</f>
        <v/>
      </c>
      <c r="D15" s="12" t="str">
        <f>if(Actuals!E15 = "", "",if(Actuals!$A15=1,"",Actuals!E15 + Strokes!D15))</f>
        <v/>
      </c>
      <c r="E15" s="12" t="str">
        <f>if(Actuals!F15 = "", "",if(Actuals!$A15=1,"",Actuals!F15 + Strokes!E15))</f>
        <v/>
      </c>
      <c r="F15" s="12" t="str">
        <f>if(Actuals!G15 = "", "",if(Actuals!$A15=1,"",Actuals!G15 + Strokes!F15))</f>
        <v/>
      </c>
      <c r="G15" s="12" t="str">
        <f>if(Actuals!H15 = "", "",if(Actuals!$A15=1,"",Actuals!H15 + Strokes!G15))</f>
        <v/>
      </c>
      <c r="H15" s="12" t="str">
        <f>if(Actuals!I15 = "", "",if(Actuals!$A15=1,"",Actuals!I15 + Strokes!H15))</f>
        <v/>
      </c>
      <c r="I15" s="12" t="str">
        <f>if(Actuals!J15 = "", "",if(Actuals!$A15=1,"",Actuals!J15 + Strokes!I15))</f>
        <v/>
      </c>
      <c r="J15" s="12" t="str">
        <f>if(Actuals!K15 = "", "",if(Actuals!$A15=1,"",Actuals!K15 + Strokes!J15))</f>
        <v/>
      </c>
      <c r="K15" s="12" t="str">
        <f>if(Actuals!L15 = "", "",if(Actuals!$A15=1,"",Actuals!L15 + Strokes!K15))</f>
        <v/>
      </c>
      <c r="L15" s="12" t="str">
        <f>if(Actuals!M15 = "", "",if(Actuals!$A15=1,"",Actuals!M15 + Strokes!L15))</f>
        <v/>
      </c>
      <c r="M15" s="12" t="str">
        <f>if(Actuals!N15 = "", "",if(Actuals!$A15=1,"",Actuals!N15 + Strokes!M15))</f>
        <v/>
      </c>
      <c r="N15" s="12" t="str">
        <f>if(Actuals!O15 = "", "",if(Actuals!$A15=1,"",Actuals!O15 + Strokes!N15))</f>
        <v/>
      </c>
      <c r="O15" s="12" t="str">
        <f>if(Actuals!P15 = "", "",if(Actuals!$A15=1,"",Actuals!P15 + Strokes!O15))</f>
        <v/>
      </c>
      <c r="P15" s="12" t="str">
        <f>if(Actuals!Q15 = "", "",if(Actuals!$A15=1,"",Actuals!Q15 + Strokes!P15))</f>
        <v/>
      </c>
      <c r="Q15" s="12" t="str">
        <f>if(Actuals!R15 = "", "",if(Actuals!$A15=1,"",Actuals!R15 + Strokes!Q15))</f>
        <v/>
      </c>
      <c r="R15" s="12" t="str">
        <f>if(#REF! = "", "",if(Actuals!$A15=1,"",#REF! + #REF!))</f>
        <v>#REF!</v>
      </c>
      <c r="S15" s="12" t="str">
        <f>if(#REF! = "", "",if(Actuals!$A15=1,"",#REF! + #REF!))</f>
        <v>#REF!</v>
      </c>
      <c r="T15" s="80"/>
      <c r="U15" s="80"/>
      <c r="V15" s="80"/>
      <c r="W15" s="80"/>
      <c r="X15" s="80"/>
      <c r="Y15" s="80"/>
      <c r="Z15" s="80"/>
    </row>
    <row r="16">
      <c r="A16" s="16" t="str">
        <f>Actuals!B16</f>
        <v>Jeremy H</v>
      </c>
      <c r="B16" s="12" t="str">
        <f>if(Actuals!C16 = "", "",if(Actuals!$A16=1,"",Actuals!C16 + Strokes!B16))</f>
        <v/>
      </c>
      <c r="C16" s="12" t="str">
        <f>if(Actuals!D16 = "", "",if(Actuals!$A16=1,"",Actuals!D16 + Strokes!C16))</f>
        <v/>
      </c>
      <c r="D16" s="12" t="str">
        <f>if(Actuals!E16 = "", "",if(Actuals!$A16=1,"",Actuals!E16 + Strokes!D16))</f>
        <v/>
      </c>
      <c r="E16" s="12" t="str">
        <f>if(Actuals!F16 = "", "",if(Actuals!$A16=1,"",Actuals!F16 + Strokes!E16))</f>
        <v/>
      </c>
      <c r="F16" s="12" t="str">
        <f>if(Actuals!G16 = "", "",if(Actuals!$A16=1,"",Actuals!G16 + Strokes!F16))</f>
        <v/>
      </c>
      <c r="G16" s="12" t="str">
        <f>if(Actuals!H16 = "", "",if(Actuals!$A16=1,"",Actuals!H16 + Strokes!G16))</f>
        <v/>
      </c>
      <c r="H16" s="12" t="str">
        <f>if(Actuals!I16 = "", "",if(Actuals!$A16=1,"",Actuals!I16 + Strokes!H16))</f>
        <v/>
      </c>
      <c r="I16" s="12" t="str">
        <f>if(Actuals!J16 = "", "",if(Actuals!$A16=1,"",Actuals!J16 + Strokes!I16))</f>
        <v/>
      </c>
      <c r="J16" s="12" t="str">
        <f>if(Actuals!K16 = "", "",if(Actuals!$A16=1,"",Actuals!K16 + Strokes!J16))</f>
        <v/>
      </c>
      <c r="K16" s="12" t="str">
        <f>if(Actuals!L16 = "", "",if(Actuals!$A16=1,"",Actuals!L16 + Strokes!K16))</f>
        <v/>
      </c>
      <c r="L16" s="12" t="str">
        <f>if(Actuals!M16 = "", "",if(Actuals!$A16=1,"",Actuals!M16 + Strokes!L16))</f>
        <v/>
      </c>
      <c r="M16" s="12" t="str">
        <f>if(Actuals!N16 = "", "",if(Actuals!$A16=1,"",Actuals!N16 + Strokes!M16))</f>
        <v/>
      </c>
      <c r="N16" s="12" t="str">
        <f>if(Actuals!O16 = "", "",if(Actuals!$A16=1,"",Actuals!O16 + Strokes!N16))</f>
        <v/>
      </c>
      <c r="O16" s="12" t="str">
        <f>if(Actuals!P16 = "", "",if(Actuals!$A16=1,"",Actuals!P16 + Strokes!O16))</f>
        <v/>
      </c>
      <c r="P16" s="12" t="str">
        <f>if(Actuals!Q16 = "", "",if(Actuals!$A16=1,"",Actuals!Q16 + Strokes!P16))</f>
        <v/>
      </c>
      <c r="Q16" s="12" t="str">
        <f>if(Actuals!R16 = "", "",if(Actuals!$A16=1,"",Actuals!R16 + Strokes!Q16))</f>
        <v/>
      </c>
      <c r="R16" s="12" t="str">
        <f>if(#REF! = "", "",if(Actuals!$A16=1,"",#REF! + #REF!))</f>
        <v>#REF!</v>
      </c>
      <c r="S16" s="12" t="str">
        <f>if(#REF! = "", "",if(Actuals!$A16=1,"",#REF! + #REF!))</f>
        <v>#REF!</v>
      </c>
      <c r="T16" s="80"/>
      <c r="U16" s="80"/>
      <c r="V16" s="80"/>
      <c r="W16" s="80"/>
      <c r="X16" s="80"/>
      <c r="Y16" s="80"/>
      <c r="Z16" s="80"/>
    </row>
    <row r="17">
      <c r="A17" s="16" t="str">
        <f>Actuals!B17</f>
        <v>Jeremy S</v>
      </c>
      <c r="B17" s="12" t="str">
        <f>if(Actuals!C17 = "", "",if(Actuals!$A17=1,"",Actuals!C17 + Strokes!B17))</f>
        <v/>
      </c>
      <c r="C17" s="12" t="str">
        <f>if(Actuals!D17 = "", "",if(Actuals!$A17=1,"",Actuals!D17 + Strokes!C17))</f>
        <v/>
      </c>
      <c r="D17" s="12" t="str">
        <f>if(Actuals!E17 = "", "",if(Actuals!$A17=1,"",Actuals!E17 + Strokes!D17))</f>
        <v/>
      </c>
      <c r="E17" s="12" t="str">
        <f>if(Actuals!F17 = "", "",if(Actuals!$A17=1,"",Actuals!F17 + Strokes!E17))</f>
        <v/>
      </c>
      <c r="F17" s="12" t="str">
        <f>if(Actuals!G17 = "", "",if(Actuals!$A17=1,"",Actuals!G17 + Strokes!F17))</f>
        <v/>
      </c>
      <c r="G17" s="12" t="str">
        <f>if(Actuals!H17 = "", "",if(Actuals!$A17=1,"",Actuals!H17 + Strokes!G17))</f>
        <v/>
      </c>
      <c r="H17" s="12" t="str">
        <f>if(Actuals!I17 = "", "",if(Actuals!$A17=1,"",Actuals!I17 + Strokes!H17))</f>
        <v/>
      </c>
      <c r="I17" s="12" t="str">
        <f>if(Actuals!J17 = "", "",if(Actuals!$A17=1,"",Actuals!J17 + Strokes!I17))</f>
        <v/>
      </c>
      <c r="J17" s="12" t="str">
        <f>if(Actuals!K17 = "", "",if(Actuals!$A17=1,"",Actuals!K17 + Strokes!J17))</f>
        <v/>
      </c>
      <c r="K17" s="12" t="str">
        <f>if(Actuals!L17 = "", "",if(Actuals!$A17=1,"",Actuals!L17 + Strokes!K17))</f>
        <v/>
      </c>
      <c r="L17" s="12" t="str">
        <f>if(Actuals!M17 = "", "",if(Actuals!$A17=1,"",Actuals!M17 + Strokes!L17))</f>
        <v/>
      </c>
      <c r="M17" s="12" t="str">
        <f>if(Actuals!N17 = "", "",if(Actuals!$A17=1,"",Actuals!N17 + Strokes!M17))</f>
        <v/>
      </c>
      <c r="N17" s="12" t="str">
        <f>if(Actuals!O17 = "", "",if(Actuals!$A17=1,"",Actuals!O17 + Strokes!N17))</f>
        <v/>
      </c>
      <c r="O17" s="12" t="str">
        <f>if(Actuals!P17 = "", "",if(Actuals!$A17=1,"",Actuals!P17 + Strokes!O17))</f>
        <v/>
      </c>
      <c r="P17" s="12" t="str">
        <f>if(Actuals!Q17 = "", "",if(Actuals!$A17=1,"",Actuals!Q17 + Strokes!P17))</f>
        <v/>
      </c>
      <c r="Q17" s="12" t="str">
        <f>if(Actuals!R17 = "", "",if(Actuals!$A17=1,"",Actuals!R17 + Strokes!Q17))</f>
        <v/>
      </c>
      <c r="R17" s="12" t="str">
        <f>if(#REF! = "", "",if(Actuals!$A17=1,"",#REF! + #REF!))</f>
        <v>#REF!</v>
      </c>
      <c r="S17" s="12" t="str">
        <f>if(#REF! = "", "",if(Actuals!$A17=1,"",#REF! + #REF!))</f>
        <v>#REF!</v>
      </c>
      <c r="T17" s="80"/>
      <c r="U17" s="80"/>
      <c r="V17" s="80"/>
      <c r="W17" s="80"/>
      <c r="X17" s="80"/>
      <c r="Y17" s="80"/>
      <c r="Z17" s="80"/>
    </row>
    <row r="18">
      <c r="A18" s="16" t="str">
        <f>Actuals!B18</f>
        <v>Jon L</v>
      </c>
      <c r="B18" s="12">
        <f>if(Actuals!C18 = "", "",if(Actuals!$A18=1,"",Actuals!C18 + Strokes!B18))</f>
        <v>40.5</v>
      </c>
      <c r="C18" s="12">
        <f>if(Actuals!D18 = "", "",if(Actuals!$A18=1,"",Actuals!D18 + Strokes!C18))</f>
        <v>35.7</v>
      </c>
      <c r="D18" s="12">
        <f>if(Actuals!E18 = "", "",if(Actuals!$A18=1,"",Actuals!E18 + Strokes!D18))</f>
        <v>37.6</v>
      </c>
      <c r="E18" s="12" t="str">
        <f>if(Actuals!F18 = "", "",if(Actuals!$A18=1,"",Actuals!F18 + Strokes!E18))</f>
        <v/>
      </c>
      <c r="F18" s="12" t="str">
        <f>if(Actuals!G18 = "", "",if(Actuals!$A18=1,"",Actuals!G18 + Strokes!F18))</f>
        <v/>
      </c>
      <c r="G18" s="12" t="str">
        <f>if(Actuals!H18 = "", "",if(Actuals!$A18=1,"",Actuals!H18 + Strokes!G18))</f>
        <v/>
      </c>
      <c r="H18" s="12" t="str">
        <f>if(Actuals!I18 = "", "",if(Actuals!$A18=1,"",Actuals!I18 + Strokes!H18))</f>
        <v/>
      </c>
      <c r="I18" s="12" t="str">
        <f>if(Actuals!J18 = "", "",if(Actuals!$A18=1,"",Actuals!J18 + Strokes!I18))</f>
        <v/>
      </c>
      <c r="J18" s="12" t="str">
        <f>if(Actuals!K18 = "", "",if(Actuals!$A18=1,"",Actuals!K18 + Strokes!J18))</f>
        <v/>
      </c>
      <c r="K18" s="12" t="str">
        <f>if(Actuals!L18 = "", "",if(Actuals!$A18=1,"",Actuals!L18 + Strokes!K18))</f>
        <v/>
      </c>
      <c r="L18" s="12" t="str">
        <f>if(Actuals!M18 = "", "",if(Actuals!$A18=1,"",Actuals!M18 + Strokes!L18))</f>
        <v/>
      </c>
      <c r="M18" s="12" t="str">
        <f>if(Actuals!N18 = "", "",if(Actuals!$A18=1,"",Actuals!N18 + Strokes!M18))</f>
        <v/>
      </c>
      <c r="N18" s="12" t="str">
        <f>if(Actuals!O18 = "", "",if(Actuals!$A18=1,"",Actuals!O18 + Strokes!N18))</f>
        <v/>
      </c>
      <c r="O18" s="12" t="str">
        <f>if(Actuals!P18 = "", "",if(Actuals!$A18=1,"",Actuals!P18 + Strokes!O18))</f>
        <v/>
      </c>
      <c r="P18" s="12" t="str">
        <f>if(Actuals!Q18 = "", "",if(Actuals!$A18=1,"",Actuals!Q18 + Strokes!P18))</f>
        <v/>
      </c>
      <c r="Q18" s="12" t="str">
        <f>if(Actuals!R18 = "", "",if(Actuals!$A18=1,"",Actuals!R18 + Strokes!Q18))</f>
        <v/>
      </c>
      <c r="R18" s="12" t="str">
        <f>if(#REF! = "", "",if(Actuals!$A18=1,"",#REF! + #REF!))</f>
        <v>#REF!</v>
      </c>
      <c r="S18" s="12" t="str">
        <f>if(#REF! = "", "",if(Actuals!$A18=1,"",#REF! + #REF!))</f>
        <v>#REF!</v>
      </c>
      <c r="T18" s="80"/>
      <c r="U18" s="80"/>
      <c r="V18" s="80"/>
      <c r="W18" s="80"/>
      <c r="X18" s="80"/>
      <c r="Y18" s="80"/>
      <c r="Z18" s="80"/>
    </row>
    <row r="19">
      <c r="A19" s="16" t="str">
        <f>Actuals!B19</f>
        <v>Jonah R</v>
      </c>
      <c r="B19" s="12" t="str">
        <f>if(Actuals!C19 = "", "",if(Actuals!$A19=1,"",Actuals!C19 + Strokes!B19))</f>
        <v/>
      </c>
      <c r="C19" s="12">
        <f>if(Actuals!D19 = "", "",if(Actuals!$A19=1,"",Actuals!D19 + Strokes!C19))</f>
        <v>37.2</v>
      </c>
      <c r="D19" s="12" t="str">
        <f>if(Actuals!E19 = "", "",if(Actuals!$A19=1,"",Actuals!E19 + Strokes!D19))</f>
        <v/>
      </c>
      <c r="E19" s="12" t="str">
        <f>if(Actuals!F19 = "", "",if(Actuals!$A19=1,"",Actuals!F19 + Strokes!E19))</f>
        <v/>
      </c>
      <c r="F19" s="12" t="str">
        <f>if(Actuals!G19 = "", "",if(Actuals!$A19=1,"",Actuals!G19 + Strokes!F19))</f>
        <v/>
      </c>
      <c r="G19" s="12" t="str">
        <f>if(Actuals!H19 = "", "",if(Actuals!$A19=1,"",Actuals!H19 + Strokes!G19))</f>
        <v/>
      </c>
      <c r="H19" s="12" t="str">
        <f>if(Actuals!I19 = "", "",if(Actuals!$A19=1,"",Actuals!I19 + Strokes!H19))</f>
        <v/>
      </c>
      <c r="I19" s="12" t="str">
        <f>if(Actuals!J19 = "", "",if(Actuals!$A19=1,"",Actuals!J19 + Strokes!I19))</f>
        <v/>
      </c>
      <c r="J19" s="12" t="str">
        <f>if(Actuals!K19 = "", "",if(Actuals!$A19=1,"",Actuals!K19 + Strokes!J19))</f>
        <v/>
      </c>
      <c r="K19" s="12" t="str">
        <f>if(Actuals!L19 = "", "",if(Actuals!$A19=1,"",Actuals!L19 + Strokes!K19))</f>
        <v/>
      </c>
      <c r="L19" s="12" t="str">
        <f>if(Actuals!M19 = "", "",if(Actuals!$A19=1,"",Actuals!M19 + Strokes!L19))</f>
        <v/>
      </c>
      <c r="M19" s="12" t="str">
        <f>if(Actuals!N19 = "", "",if(Actuals!$A19=1,"",Actuals!N19 + Strokes!M19))</f>
        <v/>
      </c>
      <c r="N19" s="12" t="str">
        <f>if(Actuals!O19 = "", "",if(Actuals!$A19=1,"",Actuals!O19 + Strokes!N19))</f>
        <v/>
      </c>
      <c r="O19" s="12" t="str">
        <f>if(Actuals!P19 = "", "",if(Actuals!$A19=1,"",Actuals!P19 + Strokes!O19))</f>
        <v/>
      </c>
      <c r="P19" s="12" t="str">
        <f>if(Actuals!Q19 = "", "",if(Actuals!$A19=1,"",Actuals!Q19 + Strokes!P19))</f>
        <v/>
      </c>
      <c r="Q19" s="12" t="str">
        <f>if(Actuals!R19 = "", "",if(Actuals!$A19=1,"",Actuals!R19 + Strokes!Q19))</f>
        <v/>
      </c>
      <c r="R19" s="12" t="str">
        <f>if(#REF! = "", "",if(Actuals!$A19=1,"",#REF! + #REF!))</f>
        <v>#REF!</v>
      </c>
      <c r="S19" s="12" t="str">
        <f>if(#REF! = "", "",if(Actuals!$A19=1,"",#REF! + #REF!))</f>
        <v>#REF!</v>
      </c>
      <c r="T19" s="80"/>
      <c r="U19" s="80"/>
      <c r="V19" s="80"/>
      <c r="W19" s="80"/>
      <c r="X19" s="80"/>
      <c r="Y19" s="80"/>
      <c r="Z19" s="80"/>
    </row>
    <row r="20">
      <c r="A20" s="16" t="str">
        <f>Actuals!B20</f>
        <v>Jordan V</v>
      </c>
      <c r="B20" s="12" t="str">
        <f>if(Actuals!C20 = "", "",if(Actuals!$A20=1,"",Actuals!C20 + Strokes!B20))</f>
        <v/>
      </c>
      <c r="C20" s="12" t="str">
        <f>if(Actuals!D20 = "", "",if(Actuals!$A20=1,"",Actuals!D20 + Strokes!C20))</f>
        <v/>
      </c>
      <c r="D20" s="12" t="str">
        <f>if(Actuals!E20 = "", "",if(Actuals!$A20=1,"",Actuals!E20 + Strokes!D20))</f>
        <v/>
      </c>
      <c r="E20" s="12" t="str">
        <f>if(Actuals!F20 = "", "",if(Actuals!$A20=1,"",Actuals!F20 + Strokes!E20))</f>
        <v/>
      </c>
      <c r="F20" s="12" t="str">
        <f>if(Actuals!G20 = "", "",if(Actuals!$A20=1,"",Actuals!G20 + Strokes!F20))</f>
        <v/>
      </c>
      <c r="G20" s="12" t="str">
        <f>if(Actuals!H20 = "", "",if(Actuals!$A20=1,"",Actuals!H20 + Strokes!G20))</f>
        <v/>
      </c>
      <c r="H20" s="12" t="str">
        <f>if(Actuals!I20 = "", "",if(Actuals!$A20=1,"",Actuals!I20 + Strokes!H20))</f>
        <v/>
      </c>
      <c r="I20" s="12" t="str">
        <f>if(Actuals!J20 = "", "",if(Actuals!$A20=1,"",Actuals!J20 + Strokes!I20))</f>
        <v/>
      </c>
      <c r="J20" s="12" t="str">
        <f>if(Actuals!K20 = "", "",if(Actuals!$A20=1,"",Actuals!K20 + Strokes!J20))</f>
        <v/>
      </c>
      <c r="K20" s="12" t="str">
        <f>if(Actuals!L20 = "", "",if(Actuals!$A20=1,"",Actuals!L20 + Strokes!K20))</f>
        <v/>
      </c>
      <c r="L20" s="12" t="str">
        <f>if(Actuals!M20 = "", "",if(Actuals!$A20=1,"",Actuals!M20 + Strokes!L20))</f>
        <v/>
      </c>
      <c r="M20" s="12" t="str">
        <f>if(Actuals!N20 = "", "",if(Actuals!$A20=1,"",Actuals!N20 + Strokes!M20))</f>
        <v/>
      </c>
      <c r="N20" s="12" t="str">
        <f>if(Actuals!O20 = "", "",if(Actuals!$A20=1,"",Actuals!O20 + Strokes!N20))</f>
        <v/>
      </c>
      <c r="O20" s="12" t="str">
        <f>if(Actuals!P20 = "", "",if(Actuals!$A20=1,"",Actuals!P20 + Strokes!O20))</f>
        <v/>
      </c>
      <c r="P20" s="12" t="str">
        <f>if(Actuals!Q20 = "", "",if(Actuals!$A20=1,"",Actuals!Q20 + Strokes!P20))</f>
        <v/>
      </c>
      <c r="Q20" s="12" t="str">
        <f>if(Actuals!R20 = "", "",if(Actuals!$A20=1,"",Actuals!R20 + Strokes!Q20))</f>
        <v/>
      </c>
      <c r="R20" s="12" t="str">
        <f>if(#REF! = "", "",if(Actuals!$A20=1,"",#REF! + #REF!))</f>
        <v>#REF!</v>
      </c>
      <c r="S20" s="12" t="str">
        <f>if(#REF! = "", "",if(Actuals!$A20=1,"",#REF! + #REF!))</f>
        <v>#REF!</v>
      </c>
      <c r="T20" s="80"/>
      <c r="U20" s="80"/>
      <c r="V20" s="80"/>
      <c r="W20" s="80"/>
      <c r="X20" s="80"/>
      <c r="Y20" s="80"/>
      <c r="Z20" s="80"/>
    </row>
    <row r="21">
      <c r="A21" s="16" t="str">
        <f>Actuals!B21</f>
        <v>Kyle N</v>
      </c>
      <c r="B21" s="12" t="str">
        <f>if(Actuals!C21 = "", "",if(Actuals!$A21=1,"",Actuals!C21 + Strokes!B21))</f>
        <v/>
      </c>
      <c r="C21" s="12" t="str">
        <f>if(Actuals!D21 = "", "",if(Actuals!$A21=1,"",Actuals!D21 + Strokes!C21))</f>
        <v/>
      </c>
      <c r="D21" s="12" t="str">
        <f>if(Actuals!E21 = "", "",if(Actuals!$A21=1,"",Actuals!E21 + Strokes!D21))</f>
        <v/>
      </c>
      <c r="E21" s="12" t="str">
        <f>if(Actuals!F21 = "", "",if(Actuals!$A21=1,"",Actuals!F21 + Strokes!E21))</f>
        <v/>
      </c>
      <c r="F21" s="12" t="str">
        <f>if(Actuals!G21 = "", "",if(Actuals!$A21=1,"",Actuals!G21 + Strokes!F21))</f>
        <v/>
      </c>
      <c r="G21" s="12" t="str">
        <f>if(Actuals!H21 = "", "",if(Actuals!$A21=1,"",Actuals!H21 + Strokes!G21))</f>
        <v/>
      </c>
      <c r="H21" s="12" t="str">
        <f>if(Actuals!I21 = "", "",if(Actuals!$A21=1,"",Actuals!I21 + Strokes!H21))</f>
        <v/>
      </c>
      <c r="I21" s="12" t="str">
        <f>if(Actuals!J21 = "", "",if(Actuals!$A21=1,"",Actuals!J21 + Strokes!I21))</f>
        <v/>
      </c>
      <c r="J21" s="12" t="str">
        <f>if(Actuals!K21 = "", "",if(Actuals!$A21=1,"",Actuals!K21 + Strokes!J21))</f>
        <v/>
      </c>
      <c r="K21" s="12" t="str">
        <f>if(Actuals!L21 = "", "",if(Actuals!$A21=1,"",Actuals!L21 + Strokes!K21))</f>
        <v/>
      </c>
      <c r="L21" s="12" t="str">
        <f>if(Actuals!M21 = "", "",if(Actuals!$A21=1,"",Actuals!M21 + Strokes!L21))</f>
        <v/>
      </c>
      <c r="M21" s="12" t="str">
        <f>if(Actuals!N21 = "", "",if(Actuals!$A21=1,"",Actuals!N21 + Strokes!M21))</f>
        <v/>
      </c>
      <c r="N21" s="12" t="str">
        <f>if(Actuals!O21 = "", "",if(Actuals!$A21=1,"",Actuals!O21 + Strokes!N21))</f>
        <v/>
      </c>
      <c r="O21" s="12" t="str">
        <f>if(Actuals!P21 = "", "",if(Actuals!$A21=1,"",Actuals!P21 + Strokes!O21))</f>
        <v/>
      </c>
      <c r="P21" s="12" t="str">
        <f>if(Actuals!Q21 = "", "",if(Actuals!$A21=1,"",Actuals!Q21 + Strokes!P21))</f>
        <v/>
      </c>
      <c r="Q21" s="12" t="str">
        <f>if(Actuals!R21 = "", "",if(Actuals!$A21=1,"",Actuals!R21 + Strokes!Q21))</f>
        <v/>
      </c>
      <c r="R21" s="12" t="str">
        <f>if(#REF! = "", "",if(Actuals!$A21=1,"",#REF! + #REF!))</f>
        <v>#REF!</v>
      </c>
      <c r="S21" s="12" t="str">
        <f>if(#REF! = "", "",if(Actuals!$A21=1,"",#REF! + #REF!))</f>
        <v>#REF!</v>
      </c>
      <c r="T21" s="80"/>
      <c r="U21" s="80"/>
      <c r="V21" s="80"/>
      <c r="W21" s="80"/>
      <c r="X21" s="80"/>
      <c r="Y21" s="80"/>
      <c r="Z21" s="80"/>
    </row>
    <row r="22">
      <c r="A22" s="16" t="str">
        <f>Actuals!B22</f>
        <v>Laura L</v>
      </c>
      <c r="B22" s="12" t="str">
        <f>if(Actuals!C22 = "", "",if(Actuals!$A22=1,"",Actuals!C22 + Strokes!B22))</f>
        <v/>
      </c>
      <c r="C22" s="12" t="str">
        <f>if(Actuals!D22 = "", "",if(Actuals!$A22=1,"",Actuals!D22 + Strokes!C22))</f>
        <v/>
      </c>
      <c r="D22" s="12" t="str">
        <f>if(Actuals!E22 = "", "",if(Actuals!$A22=1,"",Actuals!E22 + Strokes!D22))</f>
        <v/>
      </c>
      <c r="E22" s="12" t="str">
        <f>if(Actuals!F22 = "", "",if(Actuals!$A22=1,"",Actuals!F22 + Strokes!E22))</f>
        <v/>
      </c>
      <c r="F22" s="12" t="str">
        <f>if(Actuals!G22 = "", "",if(Actuals!$A22=1,"",Actuals!G22 + Strokes!F22))</f>
        <v/>
      </c>
      <c r="G22" s="12" t="str">
        <f>if(Actuals!H22 = "", "",if(Actuals!$A22=1,"",Actuals!H22 + Strokes!G22))</f>
        <v/>
      </c>
      <c r="H22" s="12" t="str">
        <f>if(Actuals!I22 = "", "",if(Actuals!$A22=1,"",Actuals!I22 + Strokes!H22))</f>
        <v/>
      </c>
      <c r="I22" s="12" t="str">
        <f>if(Actuals!J22 = "", "",if(Actuals!$A22=1,"",Actuals!J22 + Strokes!I22))</f>
        <v/>
      </c>
      <c r="J22" s="12" t="str">
        <f>if(Actuals!K22 = "", "",if(Actuals!$A22=1,"",Actuals!K22 + Strokes!J22))</f>
        <v/>
      </c>
      <c r="K22" s="12" t="str">
        <f>if(Actuals!L22 = "", "",if(Actuals!$A22=1,"",Actuals!L22 + Strokes!K22))</f>
        <v/>
      </c>
      <c r="L22" s="12" t="str">
        <f>if(Actuals!M22 = "", "",if(Actuals!$A22=1,"",Actuals!M22 + Strokes!L22))</f>
        <v/>
      </c>
      <c r="M22" s="12" t="str">
        <f>if(Actuals!N22 = "", "",if(Actuals!$A22=1,"",Actuals!N22 + Strokes!M22))</f>
        <v/>
      </c>
      <c r="N22" s="12" t="str">
        <f>if(Actuals!O22 = "", "",if(Actuals!$A22=1,"",Actuals!O22 + Strokes!N22))</f>
        <v/>
      </c>
      <c r="O22" s="12" t="str">
        <f>if(Actuals!P22 = "", "",if(Actuals!$A22=1,"",Actuals!P22 + Strokes!O22))</f>
        <v/>
      </c>
      <c r="P22" s="12" t="str">
        <f>if(Actuals!Q22 = "", "",if(Actuals!$A22=1,"",Actuals!Q22 + Strokes!P22))</f>
        <v/>
      </c>
      <c r="Q22" s="12" t="str">
        <f>if(Actuals!R22 = "", "",if(Actuals!$A22=1,"",Actuals!R22 + Strokes!Q22))</f>
        <v/>
      </c>
      <c r="R22" s="12" t="str">
        <f>if(#REF! = "", "",if(Actuals!$A22=1,"",#REF! + #REF!))</f>
        <v>#REF!</v>
      </c>
      <c r="S22" s="12" t="str">
        <f>if(#REF! = "", "",if(Actuals!$A22=1,"",#REF! + #REF!))</f>
        <v>#REF!</v>
      </c>
      <c r="T22" s="80"/>
      <c r="U22" s="80"/>
      <c r="V22" s="80"/>
      <c r="W22" s="80"/>
      <c r="X22" s="80"/>
      <c r="Y22" s="80"/>
      <c r="Z22" s="80"/>
    </row>
    <row r="23">
      <c r="A23" s="16" t="str">
        <f>Actuals!B23</f>
        <v>Luke W</v>
      </c>
      <c r="B23" s="12" t="str">
        <f>if(Actuals!C23 = "", "",if(Actuals!$A23=1,"",Actuals!C23 + Strokes!B23))</f>
        <v/>
      </c>
      <c r="C23" s="12" t="str">
        <f>if(Actuals!D23 = "", "",if(Actuals!$A23=1,"",Actuals!D23 + Strokes!C23))</f>
        <v/>
      </c>
      <c r="D23" s="12">
        <f>if(Actuals!E23 = "", "",if(Actuals!$A23=1,"",Actuals!E23 + Strokes!D23))</f>
        <v>32.6</v>
      </c>
      <c r="E23" s="12" t="str">
        <f>if(Actuals!F23 = "", "",if(Actuals!$A23=1,"",Actuals!F23 + Strokes!E23))</f>
        <v/>
      </c>
      <c r="F23" s="12" t="str">
        <f>if(Actuals!G23 = "", "",if(Actuals!$A23=1,"",Actuals!G23 + Strokes!F23))</f>
        <v/>
      </c>
      <c r="G23" s="12" t="str">
        <f>if(Actuals!H23 = "", "",if(Actuals!$A23=1,"",Actuals!H23 + Strokes!G23))</f>
        <v/>
      </c>
      <c r="H23" s="12" t="str">
        <f>if(Actuals!I23 = "", "",if(Actuals!$A23=1,"",Actuals!I23 + Strokes!H23))</f>
        <v/>
      </c>
      <c r="I23" s="12" t="str">
        <f>if(Actuals!J23 = "", "",if(Actuals!$A23=1,"",Actuals!J23 + Strokes!I23))</f>
        <v/>
      </c>
      <c r="J23" s="12" t="str">
        <f>if(Actuals!K23 = "", "",if(Actuals!$A23=1,"",Actuals!K23 + Strokes!J23))</f>
        <v/>
      </c>
      <c r="K23" s="12" t="str">
        <f>if(Actuals!L23 = "", "",if(Actuals!$A23=1,"",Actuals!L23 + Strokes!K23))</f>
        <v/>
      </c>
      <c r="L23" s="12" t="str">
        <f>if(Actuals!M23 = "", "",if(Actuals!$A23=1,"",Actuals!M23 + Strokes!L23))</f>
        <v/>
      </c>
      <c r="M23" s="12" t="str">
        <f>if(Actuals!N23 = "", "",if(Actuals!$A23=1,"",Actuals!N23 + Strokes!M23))</f>
        <v/>
      </c>
      <c r="N23" s="12" t="str">
        <f>if(Actuals!O23 = "", "",if(Actuals!$A23=1,"",Actuals!O23 + Strokes!N23))</f>
        <v/>
      </c>
      <c r="O23" s="12" t="str">
        <f>if(Actuals!P23 = "", "",if(Actuals!$A23=1,"",Actuals!P23 + Strokes!O23))</f>
        <v/>
      </c>
      <c r="P23" s="12" t="str">
        <f>if(Actuals!Q23 = "", "",if(Actuals!$A23=1,"",Actuals!Q23 + Strokes!P23))</f>
        <v/>
      </c>
      <c r="Q23" s="12" t="str">
        <f>if(Actuals!R23 = "", "",if(Actuals!$A23=1,"",Actuals!R23 + Strokes!Q23))</f>
        <v/>
      </c>
      <c r="R23" s="12" t="str">
        <f>if(#REF! = "", "",if(Actuals!$A23=1,"",#REF! + #REF!))</f>
        <v>#REF!</v>
      </c>
      <c r="S23" s="12" t="str">
        <f>if(#REF! = "", "",if(Actuals!$A23=1,"",#REF! + #REF!))</f>
        <v>#REF!</v>
      </c>
      <c r="T23" s="80"/>
      <c r="U23" s="80"/>
      <c r="V23" s="80"/>
      <c r="W23" s="80"/>
      <c r="X23" s="80"/>
      <c r="Y23" s="80"/>
      <c r="Z23" s="80"/>
    </row>
    <row r="24">
      <c r="A24" s="16" t="str">
        <f>Actuals!B24</f>
        <v>Marc C</v>
      </c>
      <c r="B24" s="12">
        <f>if(Actuals!C24 = "", "",if(Actuals!$A24=1,"",Actuals!C24 + Strokes!B24))</f>
        <v>31.7</v>
      </c>
      <c r="C24" s="12">
        <f>if(Actuals!D24 = "", "",if(Actuals!$A24=1,"",Actuals!D24 + Strokes!C24))</f>
        <v>38.6</v>
      </c>
      <c r="D24" s="12" t="str">
        <f>if(Actuals!E24 = "", "",if(Actuals!$A24=1,"",Actuals!E24 + Strokes!D24))</f>
        <v/>
      </c>
      <c r="E24" s="12" t="str">
        <f>if(Actuals!F24 = "", "",if(Actuals!$A24=1,"",Actuals!F24 + Strokes!E24))</f>
        <v/>
      </c>
      <c r="F24" s="12" t="str">
        <f>if(Actuals!G24 = "", "",if(Actuals!$A24=1,"",Actuals!G24 + Strokes!F24))</f>
        <v/>
      </c>
      <c r="G24" s="12" t="str">
        <f>if(Actuals!H24 = "", "",if(Actuals!$A24=1,"",Actuals!H24 + Strokes!G24))</f>
        <v/>
      </c>
      <c r="H24" s="12" t="str">
        <f>if(Actuals!I24 = "", "",if(Actuals!$A24=1,"",Actuals!I24 + Strokes!H24))</f>
        <v/>
      </c>
      <c r="I24" s="12" t="str">
        <f>if(Actuals!J24 = "", "",if(Actuals!$A24=1,"",Actuals!J24 + Strokes!I24))</f>
        <v/>
      </c>
      <c r="J24" s="12" t="str">
        <f>if(Actuals!K24 = "", "",if(Actuals!$A24=1,"",Actuals!K24 + Strokes!J24))</f>
        <v/>
      </c>
      <c r="K24" s="12" t="str">
        <f>if(Actuals!L24 = "", "",if(Actuals!$A24=1,"",Actuals!L24 + Strokes!K24))</f>
        <v/>
      </c>
      <c r="L24" s="12" t="str">
        <f>if(Actuals!M24 = "", "",if(Actuals!$A24=1,"",Actuals!M24 + Strokes!L24))</f>
        <v/>
      </c>
      <c r="M24" s="12" t="str">
        <f>if(Actuals!N24 = "", "",if(Actuals!$A24=1,"",Actuals!N24 + Strokes!M24))</f>
        <v/>
      </c>
      <c r="N24" s="12" t="str">
        <f>if(Actuals!O24 = "", "",if(Actuals!$A24=1,"",Actuals!O24 + Strokes!N24))</f>
        <v/>
      </c>
      <c r="O24" s="12" t="str">
        <f>if(Actuals!P24 = "", "",if(Actuals!$A24=1,"",Actuals!P24 + Strokes!O24))</f>
        <v/>
      </c>
      <c r="P24" s="12" t="str">
        <f>if(Actuals!Q24 = "", "",if(Actuals!$A24=1,"",Actuals!Q24 + Strokes!P24))</f>
        <v/>
      </c>
      <c r="Q24" s="12" t="str">
        <f>if(Actuals!R24 = "", "",if(Actuals!$A24=1,"",Actuals!R24 + Strokes!Q24))</f>
        <v/>
      </c>
      <c r="R24" s="12" t="str">
        <f>if(#REF! = "", "",if(Actuals!$A24=1,"",#REF! + #REF!))</f>
        <v>#REF!</v>
      </c>
      <c r="S24" s="12" t="str">
        <f>if(#REF! = "", "",if(Actuals!$A24=1,"",#REF! + #REF!))</f>
        <v>#REF!</v>
      </c>
      <c r="T24" s="80"/>
      <c r="U24" s="80"/>
      <c r="V24" s="80"/>
      <c r="W24" s="80"/>
      <c r="X24" s="80"/>
      <c r="Y24" s="80"/>
      <c r="Z24" s="80"/>
    </row>
    <row r="25">
      <c r="A25" s="16" t="str">
        <f>Actuals!B25</f>
        <v>Mark M</v>
      </c>
      <c r="B25" s="12">
        <f>if(Actuals!C25 = "", "",if(Actuals!$A25=1,"",Actuals!C25 + Strokes!B25))</f>
        <v>35.9</v>
      </c>
      <c r="C25" s="12">
        <f>if(Actuals!D25 = "", "",if(Actuals!$A25=1,"",Actuals!D25 + Strokes!C25))</f>
        <v>38</v>
      </c>
      <c r="D25" s="12">
        <f>if(Actuals!E25 = "", "",if(Actuals!$A25=1,"",Actuals!E25 + Strokes!D25))</f>
        <v>37.3</v>
      </c>
      <c r="E25" s="12" t="str">
        <f>if(Actuals!F25 = "", "",if(Actuals!$A25=1,"",Actuals!F25 + Strokes!E25))</f>
        <v/>
      </c>
      <c r="F25" s="12" t="str">
        <f>if(Actuals!G25 = "", "",if(Actuals!$A25=1,"",Actuals!G25 + Strokes!F25))</f>
        <v/>
      </c>
      <c r="G25" s="12" t="str">
        <f>if(Actuals!H25 = "", "",if(Actuals!$A25=1,"",Actuals!H25 + Strokes!G25))</f>
        <v/>
      </c>
      <c r="H25" s="12" t="str">
        <f>if(Actuals!I25 = "", "",if(Actuals!$A25=1,"",Actuals!I25 + Strokes!H25))</f>
        <v/>
      </c>
      <c r="I25" s="12" t="str">
        <f>if(Actuals!J25 = "", "",if(Actuals!$A25=1,"",Actuals!J25 + Strokes!I25))</f>
        <v/>
      </c>
      <c r="J25" s="12" t="str">
        <f>if(Actuals!K25 = "", "",if(Actuals!$A25=1,"",Actuals!K25 + Strokes!J25))</f>
        <v/>
      </c>
      <c r="K25" s="12" t="str">
        <f>if(Actuals!L25 = "", "",if(Actuals!$A25=1,"",Actuals!L25 + Strokes!K25))</f>
        <v/>
      </c>
      <c r="L25" s="12" t="str">
        <f>if(Actuals!M25 = "", "",if(Actuals!$A25=1,"",Actuals!M25 + Strokes!L25))</f>
        <v/>
      </c>
      <c r="M25" s="12" t="str">
        <f>if(Actuals!N25 = "", "",if(Actuals!$A25=1,"",Actuals!N25 + Strokes!M25))</f>
        <v/>
      </c>
      <c r="N25" s="12" t="str">
        <f>if(Actuals!O25 = "", "",if(Actuals!$A25=1,"",Actuals!O25 + Strokes!N25))</f>
        <v/>
      </c>
      <c r="O25" s="12" t="str">
        <f>if(Actuals!P25 = "", "",if(Actuals!$A25=1,"",Actuals!P25 + Strokes!O25))</f>
        <v/>
      </c>
      <c r="P25" s="12" t="str">
        <f>if(Actuals!Q25 = "", "",if(Actuals!$A25=1,"",Actuals!Q25 + Strokes!P25))</f>
        <v/>
      </c>
      <c r="Q25" s="12" t="str">
        <f>if(Actuals!R25 = "", "",if(Actuals!$A25=1,"",Actuals!R25 + Strokes!Q25))</f>
        <v/>
      </c>
      <c r="R25" s="12" t="str">
        <f>if(#REF! = "", "",if(Actuals!$A25=1,"",#REF! + #REF!))</f>
        <v>#REF!</v>
      </c>
      <c r="S25" s="12" t="str">
        <f>if(#REF! = "", "",if(Actuals!$A25=1,"",#REF! + #REF!))</f>
        <v>#REF!</v>
      </c>
      <c r="T25" s="80"/>
      <c r="U25" s="80"/>
      <c r="V25" s="80"/>
      <c r="W25" s="80"/>
      <c r="X25" s="80"/>
      <c r="Y25" s="80"/>
      <c r="Z25" s="80"/>
    </row>
    <row r="26">
      <c r="A26" s="16" t="str">
        <f>Actuals!B26</f>
        <v>Martin R</v>
      </c>
      <c r="B26" s="12" t="str">
        <f>if(Actuals!C26 = "", "",if(Actuals!$A26=1,"",Actuals!C26 + Strokes!B26))</f>
        <v/>
      </c>
      <c r="C26" s="12" t="str">
        <f>if(Actuals!D26 = "", "",if(Actuals!$A26=1,"",Actuals!D26 + Strokes!C26))</f>
        <v/>
      </c>
      <c r="D26" s="12" t="str">
        <f>if(Actuals!E26 = "", "",if(Actuals!$A26=1,"",Actuals!E26 + Strokes!D26))</f>
        <v/>
      </c>
      <c r="E26" s="12" t="str">
        <f>if(Actuals!F26 = "", "",if(Actuals!$A26=1,"",Actuals!F26 + Strokes!E26))</f>
        <v/>
      </c>
      <c r="F26" s="12" t="str">
        <f>if(Actuals!G26 = "", "",if(Actuals!$A26=1,"",Actuals!G26 + Strokes!F26))</f>
        <v/>
      </c>
      <c r="G26" s="12" t="str">
        <f>if(Actuals!H26 = "", "",if(Actuals!$A26=1,"",Actuals!H26 + Strokes!G26))</f>
        <v/>
      </c>
      <c r="H26" s="12" t="str">
        <f>if(Actuals!I26 = "", "",if(Actuals!$A26=1,"",Actuals!I26 + Strokes!H26))</f>
        <v/>
      </c>
      <c r="I26" s="12" t="str">
        <f>if(Actuals!J26 = "", "",if(Actuals!$A26=1,"",Actuals!J26 + Strokes!I26))</f>
        <v/>
      </c>
      <c r="J26" s="12" t="str">
        <f>if(Actuals!K26 = "", "",if(Actuals!$A26=1,"",Actuals!K26 + Strokes!J26))</f>
        <v/>
      </c>
      <c r="K26" s="12" t="str">
        <f>if(Actuals!L26 = "", "",if(Actuals!$A26=1,"",Actuals!L26 + Strokes!K26))</f>
        <v/>
      </c>
      <c r="L26" s="12" t="str">
        <f>if(Actuals!M26 = "", "",if(Actuals!$A26=1,"",Actuals!M26 + Strokes!L26))</f>
        <v/>
      </c>
      <c r="M26" s="12" t="str">
        <f>if(Actuals!N26 = "", "",if(Actuals!$A26=1,"",Actuals!N26 + Strokes!M26))</f>
        <v/>
      </c>
      <c r="N26" s="12" t="str">
        <f>if(Actuals!O26 = "", "",if(Actuals!$A26=1,"",Actuals!O26 + Strokes!N26))</f>
        <v/>
      </c>
      <c r="O26" s="12" t="str">
        <f>if(Actuals!P26 = "", "",if(Actuals!$A26=1,"",Actuals!P26 + Strokes!O26))</f>
        <v/>
      </c>
      <c r="P26" s="12" t="str">
        <f>if(Actuals!Q26 = "", "",if(Actuals!$A26=1,"",Actuals!Q26 + Strokes!P26))</f>
        <v/>
      </c>
      <c r="Q26" s="12" t="str">
        <f>if(Actuals!R26 = "", "",if(Actuals!$A26=1,"",Actuals!R26 + Strokes!Q26))</f>
        <v/>
      </c>
      <c r="R26" s="12" t="str">
        <f>if(#REF! = "", "",if(Actuals!$A26=1,"",#REF! + #REF!))</f>
        <v>#REF!</v>
      </c>
      <c r="S26" s="12" t="str">
        <f>if(#REF! = "", "",if(Actuals!$A26=1,"",#REF! + #REF!))</f>
        <v>#REF!</v>
      </c>
      <c r="T26" s="80"/>
      <c r="U26" s="80"/>
      <c r="V26" s="80"/>
      <c r="W26" s="80"/>
      <c r="X26" s="80"/>
      <c r="Y26" s="80"/>
      <c r="Z26" s="80"/>
    </row>
    <row r="27">
      <c r="A27" s="16" t="str">
        <f>Actuals!B27</f>
        <v>Minji S</v>
      </c>
      <c r="B27" s="12" t="str">
        <f>if(Actuals!C27 = "", "",if(Actuals!$A27=1,"",Actuals!C27 + Strokes!B27))</f>
        <v/>
      </c>
      <c r="C27" s="12" t="str">
        <f>if(Actuals!D27 = "", "",if(Actuals!$A27=1,"",Actuals!D27 + Strokes!C27))</f>
        <v/>
      </c>
      <c r="D27" s="12" t="str">
        <f>if(Actuals!E27 = "", "",if(Actuals!$A27=1,"",Actuals!E27 + Strokes!D27))</f>
        <v/>
      </c>
      <c r="E27" s="12" t="str">
        <f>if(Actuals!F27 = "", "",if(Actuals!$A27=1,"",Actuals!F27 + Strokes!E27))</f>
        <v/>
      </c>
      <c r="F27" s="12" t="str">
        <f>if(Actuals!G27 = "", "",if(Actuals!$A27=1,"",Actuals!G27 + Strokes!F27))</f>
        <v/>
      </c>
      <c r="G27" s="12" t="str">
        <f>if(Actuals!H27 = "", "",if(Actuals!$A27=1,"",Actuals!H27 + Strokes!G27))</f>
        <v/>
      </c>
      <c r="H27" s="12" t="str">
        <f>if(Actuals!I27 = "", "",if(Actuals!$A27=1,"",Actuals!I27 + Strokes!H27))</f>
        <v/>
      </c>
      <c r="I27" s="12" t="str">
        <f>if(Actuals!J27 = "", "",if(Actuals!$A27=1,"",Actuals!J27 + Strokes!I27))</f>
        <v/>
      </c>
      <c r="J27" s="12" t="str">
        <f>if(Actuals!K27 = "", "",if(Actuals!$A27=1,"",Actuals!K27 + Strokes!J27))</f>
        <v/>
      </c>
      <c r="K27" s="12" t="str">
        <f>if(Actuals!L27 = "", "",if(Actuals!$A27=1,"",Actuals!L27 + Strokes!K27))</f>
        <v/>
      </c>
      <c r="L27" s="12" t="str">
        <f>if(Actuals!M27 = "", "",if(Actuals!$A27=1,"",Actuals!M27 + Strokes!L27))</f>
        <v/>
      </c>
      <c r="M27" s="12" t="str">
        <f>if(Actuals!N27 = "", "",if(Actuals!$A27=1,"",Actuals!N27 + Strokes!M27))</f>
        <v/>
      </c>
      <c r="N27" s="12" t="str">
        <f>if(Actuals!O27 = "", "",if(Actuals!$A27=1,"",Actuals!O27 + Strokes!N27))</f>
        <v/>
      </c>
      <c r="O27" s="12" t="str">
        <f>if(Actuals!P27 = "", "",if(Actuals!$A27=1,"",Actuals!P27 + Strokes!O27))</f>
        <v/>
      </c>
      <c r="P27" s="12" t="str">
        <f>if(Actuals!Q27 = "", "",if(Actuals!$A27=1,"",Actuals!Q27 + Strokes!P27))</f>
        <v/>
      </c>
      <c r="Q27" s="12" t="str">
        <f>if(Actuals!R27 = "", "",if(Actuals!$A27=1,"",Actuals!R27 + Strokes!Q27))</f>
        <v/>
      </c>
      <c r="R27" s="12" t="str">
        <f>if(#REF! = "", "",if(Actuals!$A27=1,"",#REF! + #REF!))</f>
        <v>#REF!</v>
      </c>
      <c r="S27" s="12" t="str">
        <f>if(#REF! = "", "",if(Actuals!$A27=1,"",#REF! + #REF!))</f>
        <v>#REF!</v>
      </c>
      <c r="T27" s="80"/>
      <c r="U27" s="80"/>
      <c r="V27" s="80"/>
      <c r="W27" s="80"/>
      <c r="X27" s="80"/>
      <c r="Y27" s="80"/>
      <c r="Z27" s="80"/>
    </row>
    <row r="28">
      <c r="A28" s="16" t="str">
        <f>Actuals!B28</f>
        <v>Nate R</v>
      </c>
      <c r="B28" s="12">
        <f>if(Actuals!C28 = "", "",if(Actuals!$A28=1,"",Actuals!C28 + Strokes!B28))</f>
        <v>39.4</v>
      </c>
      <c r="C28" s="12">
        <f>if(Actuals!D28 = "", "",if(Actuals!$A28=1,"",Actuals!D28 + Strokes!C28))</f>
        <v>41</v>
      </c>
      <c r="D28" s="12">
        <f>if(Actuals!E28 = "", "",if(Actuals!$A28=1,"",Actuals!E28 + Strokes!D28))</f>
        <v>39.1</v>
      </c>
      <c r="E28" s="12" t="str">
        <f>if(Actuals!F28 = "", "",if(Actuals!$A28=1,"",Actuals!F28 + Strokes!E28))</f>
        <v/>
      </c>
      <c r="F28" s="12" t="str">
        <f>if(Actuals!G28 = "", "",if(Actuals!$A28=1,"",Actuals!G28 + Strokes!F28))</f>
        <v/>
      </c>
      <c r="G28" s="12" t="str">
        <f>if(Actuals!H28 = "", "",if(Actuals!$A28=1,"",Actuals!H28 + Strokes!G28))</f>
        <v/>
      </c>
      <c r="H28" s="12" t="str">
        <f>if(Actuals!I28 = "", "",if(Actuals!$A28=1,"",Actuals!I28 + Strokes!H28))</f>
        <v/>
      </c>
      <c r="I28" s="12" t="str">
        <f>if(Actuals!J28 = "", "",if(Actuals!$A28=1,"",Actuals!J28 + Strokes!I28))</f>
        <v/>
      </c>
      <c r="J28" s="12" t="str">
        <f>if(Actuals!K28 = "", "",if(Actuals!$A28=1,"",Actuals!K28 + Strokes!J28))</f>
        <v/>
      </c>
      <c r="K28" s="12" t="str">
        <f>if(Actuals!L28 = "", "",if(Actuals!$A28=1,"",Actuals!L28 + Strokes!K28))</f>
        <v/>
      </c>
      <c r="L28" s="12" t="str">
        <f>if(Actuals!M28 = "", "",if(Actuals!$A28=1,"",Actuals!M28 + Strokes!L28))</f>
        <v/>
      </c>
      <c r="M28" s="12" t="str">
        <f>if(Actuals!N28 = "", "",if(Actuals!$A28=1,"",Actuals!N28 + Strokes!M28))</f>
        <v/>
      </c>
      <c r="N28" s="12" t="str">
        <f>if(Actuals!O28 = "", "",if(Actuals!$A28=1,"",Actuals!O28 + Strokes!N28))</f>
        <v/>
      </c>
      <c r="O28" s="12" t="str">
        <f>if(Actuals!P28 = "", "",if(Actuals!$A28=1,"",Actuals!P28 + Strokes!O28))</f>
        <v/>
      </c>
      <c r="P28" s="12" t="str">
        <f>if(Actuals!Q28 = "", "",if(Actuals!$A28=1,"",Actuals!Q28 + Strokes!P28))</f>
        <v/>
      </c>
      <c r="Q28" s="12" t="str">
        <f>if(Actuals!R28 = "", "",if(Actuals!$A28=1,"",Actuals!R28 + Strokes!Q28))</f>
        <v/>
      </c>
      <c r="R28" s="12" t="str">
        <f>if(#REF! = "", "",if(Actuals!$A28=1,"",#REF! + #REF!))</f>
        <v>#REF!</v>
      </c>
      <c r="S28" s="12" t="str">
        <f>if(#REF! = "", "",if(Actuals!$A28=1,"",#REF! + #REF!))</f>
        <v>#REF!</v>
      </c>
      <c r="T28" s="80"/>
      <c r="U28" s="80"/>
      <c r="V28" s="80"/>
      <c r="W28" s="80"/>
      <c r="X28" s="80"/>
      <c r="Y28" s="80"/>
      <c r="Z28" s="80"/>
    </row>
    <row r="29">
      <c r="A29" s="16" t="str">
        <f>Actuals!B29</f>
        <v>Phil J</v>
      </c>
      <c r="B29" s="12" t="str">
        <f>if(Actuals!C29 = "", "",if(Actuals!$A29=1,"",Actuals!C29 + Strokes!B29))</f>
        <v/>
      </c>
      <c r="C29" s="12" t="str">
        <f>if(Actuals!D29 = "", "",if(Actuals!$A29=1,"",Actuals!D29 + Strokes!C29))</f>
        <v/>
      </c>
      <c r="D29" s="12" t="str">
        <f>if(Actuals!E29 = "", "",if(Actuals!$A29=1,"",Actuals!E29 + Strokes!D29))</f>
        <v/>
      </c>
      <c r="E29" s="12" t="str">
        <f>if(Actuals!F29 = "", "",if(Actuals!$A29=1,"",Actuals!F29 + Strokes!E29))</f>
        <v/>
      </c>
      <c r="F29" s="12" t="str">
        <f>if(Actuals!G29 = "", "",if(Actuals!$A29=1,"",Actuals!G29 + Strokes!F29))</f>
        <v/>
      </c>
      <c r="G29" s="12" t="str">
        <f>if(Actuals!H29 = "", "",if(Actuals!$A29=1,"",Actuals!H29 + Strokes!G29))</f>
        <v/>
      </c>
      <c r="H29" s="12" t="str">
        <f>if(Actuals!I29 = "", "",if(Actuals!$A29=1,"",Actuals!I29 + Strokes!H29))</f>
        <v/>
      </c>
      <c r="I29" s="12" t="str">
        <f>if(Actuals!J29 = "", "",if(Actuals!$A29=1,"",Actuals!J29 + Strokes!I29))</f>
        <v/>
      </c>
      <c r="J29" s="12" t="str">
        <f>if(Actuals!K29 = "", "",if(Actuals!$A29=1,"",Actuals!K29 + Strokes!J29))</f>
        <v/>
      </c>
      <c r="K29" s="12" t="str">
        <f>if(Actuals!L29 = "", "",if(Actuals!$A29=1,"",Actuals!L29 + Strokes!K29))</f>
        <v/>
      </c>
      <c r="L29" s="12" t="str">
        <f>if(Actuals!M29 = "", "",if(Actuals!$A29=1,"",Actuals!M29 + Strokes!L29))</f>
        <v/>
      </c>
      <c r="M29" s="12" t="str">
        <f>if(Actuals!N29 = "", "",if(Actuals!$A29=1,"",Actuals!N29 + Strokes!M29))</f>
        <v/>
      </c>
      <c r="N29" s="12" t="str">
        <f>if(Actuals!O29 = "", "",if(Actuals!$A29=1,"",Actuals!O29 + Strokes!N29))</f>
        <v/>
      </c>
      <c r="O29" s="12" t="str">
        <f>if(Actuals!P29 = "", "",if(Actuals!$A29=1,"",Actuals!P29 + Strokes!O29))</f>
        <v/>
      </c>
      <c r="P29" s="12" t="str">
        <f>if(Actuals!Q29 = "", "",if(Actuals!$A29=1,"",Actuals!Q29 + Strokes!P29))</f>
        <v/>
      </c>
      <c r="Q29" s="12" t="str">
        <f>if(Actuals!R29 = "", "",if(Actuals!$A29=1,"",Actuals!R29 + Strokes!Q29))</f>
        <v/>
      </c>
      <c r="R29" s="12" t="str">
        <f>if(#REF! = "", "",if(Actuals!$A29=1,"",#REF! + #REF!))</f>
        <v>#REF!</v>
      </c>
      <c r="S29" s="12" t="str">
        <f>if(#REF! = "", "",if(Actuals!$A29=1,"",#REF! + #REF!))</f>
        <v>#REF!</v>
      </c>
      <c r="T29" s="80"/>
      <c r="U29" s="80"/>
      <c r="V29" s="80"/>
      <c r="W29" s="80"/>
      <c r="X29" s="80"/>
      <c r="Y29" s="80"/>
      <c r="Z29" s="80"/>
    </row>
    <row r="30">
      <c r="A30" s="16" t="str">
        <f>Actuals!B30</f>
        <v>Preston C</v>
      </c>
      <c r="B30" s="12">
        <f>if(Actuals!C30 = "", "",if(Actuals!$A30=1,"",Actuals!C30 + Strokes!B30))</f>
        <v>33.9</v>
      </c>
      <c r="C30" s="12">
        <f>if(Actuals!D30 = "", "",if(Actuals!$A30=1,"",Actuals!D30 + Strokes!C30))</f>
        <v>40.2</v>
      </c>
      <c r="D30" s="12">
        <f>if(Actuals!E30 = "", "",if(Actuals!$A30=1,"",Actuals!E30 + Strokes!D30))</f>
        <v>35.8</v>
      </c>
      <c r="E30" s="12" t="str">
        <f>if(Actuals!F30 = "", "",if(Actuals!$A30=1,"",Actuals!F30 + Strokes!E30))</f>
        <v/>
      </c>
      <c r="F30" s="12" t="str">
        <f>if(Actuals!G30 = "", "",if(Actuals!$A30=1,"",Actuals!G30 + Strokes!F30))</f>
        <v/>
      </c>
      <c r="G30" s="12" t="str">
        <f>if(Actuals!H30 = "", "",if(Actuals!$A30=1,"",Actuals!H30 + Strokes!G30))</f>
        <v/>
      </c>
      <c r="H30" s="12" t="str">
        <f>if(Actuals!I30 = "", "",if(Actuals!$A30=1,"",Actuals!I30 + Strokes!H30))</f>
        <v/>
      </c>
      <c r="I30" s="12" t="str">
        <f>if(Actuals!J30 = "", "",if(Actuals!$A30=1,"",Actuals!J30 + Strokes!I30))</f>
        <v/>
      </c>
      <c r="J30" s="12" t="str">
        <f>if(Actuals!K30 = "", "",if(Actuals!$A30=1,"",Actuals!K30 + Strokes!J30))</f>
        <v/>
      </c>
      <c r="K30" s="12" t="str">
        <f>if(Actuals!L30 = "", "",if(Actuals!$A30=1,"",Actuals!L30 + Strokes!K30))</f>
        <v/>
      </c>
      <c r="L30" s="12" t="str">
        <f>if(Actuals!M30 = "", "",if(Actuals!$A30=1,"",Actuals!M30 + Strokes!L30))</f>
        <v/>
      </c>
      <c r="M30" s="12" t="str">
        <f>if(Actuals!N30 = "", "",if(Actuals!$A30=1,"",Actuals!N30 + Strokes!M30))</f>
        <v/>
      </c>
      <c r="N30" s="12" t="str">
        <f>if(Actuals!O30 = "", "",if(Actuals!$A30=1,"",Actuals!O30 + Strokes!N30))</f>
        <v/>
      </c>
      <c r="O30" s="12" t="str">
        <f>if(Actuals!P30 = "", "",if(Actuals!$A30=1,"",Actuals!P30 + Strokes!O30))</f>
        <v/>
      </c>
      <c r="P30" s="12" t="str">
        <f>if(Actuals!Q30 = "", "",if(Actuals!$A30=1,"",Actuals!Q30 + Strokes!P30))</f>
        <v/>
      </c>
      <c r="Q30" s="12" t="str">
        <f>if(Actuals!R30 = "", "",if(Actuals!$A30=1,"",Actuals!R30 + Strokes!Q30))</f>
        <v/>
      </c>
      <c r="R30" s="12" t="str">
        <f>if(#REF! = "", "",if(Actuals!$A30=1,"",#REF! + #REF!))</f>
        <v>#REF!</v>
      </c>
      <c r="S30" s="12" t="str">
        <f>if(#REF! = "", "",if(Actuals!$A30=1,"",#REF! + #REF!))</f>
        <v>#REF!</v>
      </c>
      <c r="T30" s="80"/>
      <c r="U30" s="80"/>
      <c r="V30" s="80"/>
      <c r="W30" s="80"/>
      <c r="X30" s="80"/>
      <c r="Y30" s="80"/>
      <c r="Z30" s="80"/>
    </row>
    <row r="31">
      <c r="A31" s="16" t="str">
        <f>Actuals!B31</f>
        <v>Rich</v>
      </c>
      <c r="B31" s="12" t="str">
        <f>if(Actuals!C31 = "", "",if(Actuals!$A31=1,"",Actuals!C31 + Strokes!B31))</f>
        <v/>
      </c>
      <c r="C31" s="12" t="str">
        <f>if(Actuals!D31 = "", "",if(Actuals!$A31=1,"",Actuals!D31 + Strokes!C31))</f>
        <v/>
      </c>
      <c r="D31" s="12">
        <f>if(Actuals!E31 = "", "",if(Actuals!$A31=1,"",Actuals!E31 + Strokes!D31))</f>
        <v>34.6</v>
      </c>
      <c r="E31" s="12" t="str">
        <f>if(Actuals!F31 = "", "",if(Actuals!$A31=1,"",Actuals!F31 + Strokes!E31))</f>
        <v/>
      </c>
      <c r="F31" s="12" t="str">
        <f>if(Actuals!G31 = "", "",if(Actuals!$A31=1,"",Actuals!G31 + Strokes!F31))</f>
        <v/>
      </c>
      <c r="G31" s="12" t="str">
        <f>if(Actuals!H31 = "", "",if(Actuals!$A31=1,"",Actuals!H31 + Strokes!G31))</f>
        <v/>
      </c>
      <c r="H31" s="12" t="str">
        <f>if(Actuals!I31 = "", "",if(Actuals!$A31=1,"",Actuals!I31 + Strokes!H31))</f>
        <v/>
      </c>
      <c r="I31" s="12" t="str">
        <f>if(Actuals!J31 = "", "",if(Actuals!$A31=1,"",Actuals!J31 + Strokes!I31))</f>
        <v/>
      </c>
      <c r="J31" s="12" t="str">
        <f>if(Actuals!K31 = "", "",if(Actuals!$A31=1,"",Actuals!K31 + Strokes!J31))</f>
        <v/>
      </c>
      <c r="K31" s="12" t="str">
        <f>if(Actuals!L31 = "", "",if(Actuals!$A31=1,"",Actuals!L31 + Strokes!K31))</f>
        <v/>
      </c>
      <c r="L31" s="12" t="str">
        <f>if(Actuals!M31 = "", "",if(Actuals!$A31=1,"",Actuals!M31 + Strokes!L31))</f>
        <v/>
      </c>
      <c r="M31" s="12" t="str">
        <f>if(Actuals!N31 = "", "",if(Actuals!$A31=1,"",Actuals!N31 + Strokes!M31))</f>
        <v/>
      </c>
      <c r="N31" s="12" t="str">
        <f>if(Actuals!O31 = "", "",if(Actuals!$A31=1,"",Actuals!O31 + Strokes!N31))</f>
        <v/>
      </c>
      <c r="O31" s="12" t="str">
        <f>if(Actuals!P31 = "", "",if(Actuals!$A31=1,"",Actuals!P31 + Strokes!O31))</f>
        <v/>
      </c>
      <c r="P31" s="12" t="str">
        <f>if(Actuals!Q31 = "", "",if(Actuals!$A31=1,"",Actuals!Q31 + Strokes!P31))</f>
        <v/>
      </c>
      <c r="Q31" s="12" t="str">
        <f>if(Actuals!R31 = "", "",if(Actuals!$A31=1,"",Actuals!R31 + Strokes!Q31))</f>
        <v/>
      </c>
      <c r="R31" s="12" t="str">
        <f>if(#REF! = "", "",if(Actuals!$A31=1,"",#REF! + #REF!))</f>
        <v>#REF!</v>
      </c>
      <c r="S31" s="12" t="str">
        <f>if(#REF! = "", "",if(Actuals!$A31=1,"",#REF! + #REF!))</f>
        <v>#REF!</v>
      </c>
      <c r="T31" s="80"/>
      <c r="U31" s="80"/>
      <c r="V31" s="80"/>
      <c r="W31" s="80"/>
      <c r="X31" s="80"/>
      <c r="Y31" s="80"/>
      <c r="Z31" s="80"/>
    </row>
    <row r="32">
      <c r="A32" s="16" t="str">
        <f>Actuals!B32</f>
        <v>Russ B</v>
      </c>
      <c r="B32" s="12" t="str">
        <f>if(Actuals!C32 = "", "",if(Actuals!$A32=1,"",Actuals!C32 + Strokes!B32))</f>
        <v/>
      </c>
      <c r="C32" s="12" t="str">
        <f>if(Actuals!D32 = "", "",if(Actuals!$A32=1,"",Actuals!D32 + Strokes!C32))</f>
        <v/>
      </c>
      <c r="D32" s="12" t="str">
        <f>if(Actuals!E32 = "", "",if(Actuals!$A32=1,"",Actuals!E32 + Strokes!D32))</f>
        <v/>
      </c>
      <c r="E32" s="12" t="str">
        <f>if(Actuals!F32 = "", "",if(Actuals!$A32=1,"",Actuals!F32 + Strokes!E32))</f>
        <v/>
      </c>
      <c r="F32" s="12" t="str">
        <f>if(Actuals!G32 = "", "",if(Actuals!$A32=1,"",Actuals!G32 + Strokes!F32))</f>
        <v/>
      </c>
      <c r="G32" s="12" t="str">
        <f>if(Actuals!H32 = "", "",if(Actuals!$A32=1,"",Actuals!H32 + Strokes!G32))</f>
        <v/>
      </c>
      <c r="H32" s="12" t="str">
        <f>if(Actuals!I32 = "", "",if(Actuals!$A32=1,"",Actuals!I32 + Strokes!H32))</f>
        <v/>
      </c>
      <c r="I32" s="12" t="str">
        <f>if(Actuals!J32 = "", "",if(Actuals!$A32=1,"",Actuals!J32 + Strokes!I32))</f>
        <v/>
      </c>
      <c r="J32" s="12" t="str">
        <f>if(Actuals!K32 = "", "",if(Actuals!$A32=1,"",Actuals!K32 + Strokes!J32))</f>
        <v/>
      </c>
      <c r="K32" s="12" t="str">
        <f>if(Actuals!L32 = "", "",if(Actuals!$A32=1,"",Actuals!L32 + Strokes!K32))</f>
        <v/>
      </c>
      <c r="L32" s="12" t="str">
        <f>if(Actuals!M32 = "", "",if(Actuals!$A32=1,"",Actuals!M32 + Strokes!L32))</f>
        <v/>
      </c>
      <c r="M32" s="12" t="str">
        <f>if(Actuals!N32 = "", "",if(Actuals!$A32=1,"",Actuals!N32 + Strokes!M32))</f>
        <v/>
      </c>
      <c r="N32" s="12" t="str">
        <f>if(Actuals!O32 = "", "",if(Actuals!$A32=1,"",Actuals!O32 + Strokes!N32))</f>
        <v/>
      </c>
      <c r="O32" s="12" t="str">
        <f>if(Actuals!P32 = "", "",if(Actuals!$A32=1,"",Actuals!P32 + Strokes!O32))</f>
        <v/>
      </c>
      <c r="P32" s="12" t="str">
        <f>if(Actuals!Q32 = "", "",if(Actuals!$A32=1,"",Actuals!Q32 + Strokes!P32))</f>
        <v/>
      </c>
      <c r="Q32" s="12" t="str">
        <f>if(Actuals!R32 = "", "",if(Actuals!$A32=1,"",Actuals!R32 + Strokes!Q32))</f>
        <v/>
      </c>
      <c r="R32" s="12" t="str">
        <f>if(#REF! = "", "",if(Actuals!$A32=1,"",#REF! + #REF!))</f>
        <v>#REF!</v>
      </c>
      <c r="S32" s="12" t="str">
        <f>if(#REF! = "", "",if(Actuals!$A32=1,"",#REF! + #REF!))</f>
        <v>#REF!</v>
      </c>
      <c r="T32" s="80"/>
      <c r="U32" s="80"/>
      <c r="V32" s="80"/>
      <c r="W32" s="80"/>
      <c r="X32" s="80"/>
      <c r="Y32" s="80"/>
      <c r="Z32" s="80"/>
    </row>
    <row r="33">
      <c r="A33" s="16" t="str">
        <f>Actuals!B33</f>
        <v>Russ H</v>
      </c>
      <c r="B33" s="12" t="str">
        <f>if(Actuals!C33 = "", "",if(Actuals!$A33=1,"",Actuals!C33 + Strokes!B33))</f>
        <v/>
      </c>
      <c r="C33" s="12" t="str">
        <f>if(Actuals!D33 = "", "",if(Actuals!$A33=1,"",Actuals!D33 + Strokes!C33))</f>
        <v/>
      </c>
      <c r="D33" s="12" t="str">
        <f>if(Actuals!E33 = "", "",if(Actuals!$A33=1,"",Actuals!E33 + Strokes!D33))</f>
        <v/>
      </c>
      <c r="E33" s="12" t="str">
        <f>if(Actuals!F33 = "", "",if(Actuals!$A33=1,"",Actuals!F33 + Strokes!E33))</f>
        <v/>
      </c>
      <c r="F33" s="12" t="str">
        <f>if(Actuals!G33 = "", "",if(Actuals!$A33=1,"",Actuals!G33 + Strokes!F33))</f>
        <v/>
      </c>
      <c r="G33" s="12" t="str">
        <f>if(Actuals!H33 = "", "",if(Actuals!$A33=1,"",Actuals!H33 + Strokes!G33))</f>
        <v/>
      </c>
      <c r="H33" s="12" t="str">
        <f>if(Actuals!I33 = "", "",if(Actuals!$A33=1,"",Actuals!I33 + Strokes!H33))</f>
        <v/>
      </c>
      <c r="I33" s="12" t="str">
        <f>if(Actuals!J33 = "", "",if(Actuals!$A33=1,"",Actuals!J33 + Strokes!I33))</f>
        <v/>
      </c>
      <c r="J33" s="12" t="str">
        <f>if(Actuals!K33 = "", "",if(Actuals!$A33=1,"",Actuals!K33 + Strokes!J33))</f>
        <v/>
      </c>
      <c r="K33" s="12" t="str">
        <f>if(Actuals!L33 = "", "",if(Actuals!$A33=1,"",Actuals!L33 + Strokes!K33))</f>
        <v/>
      </c>
      <c r="L33" s="12" t="str">
        <f>if(Actuals!M33 = "", "",if(Actuals!$A33=1,"",Actuals!M33 + Strokes!L33))</f>
        <v/>
      </c>
      <c r="M33" s="12" t="str">
        <f>if(Actuals!N33 = "", "",if(Actuals!$A33=1,"",Actuals!N33 + Strokes!M33))</f>
        <v/>
      </c>
      <c r="N33" s="12" t="str">
        <f>if(Actuals!O33 = "", "",if(Actuals!$A33=1,"",Actuals!O33 + Strokes!N33))</f>
        <v/>
      </c>
      <c r="O33" s="12" t="str">
        <f>if(Actuals!P33 = "", "",if(Actuals!$A33=1,"",Actuals!P33 + Strokes!O33))</f>
        <v/>
      </c>
      <c r="P33" s="12" t="str">
        <f>if(Actuals!Q33 = "", "",if(Actuals!$A33=1,"",Actuals!Q33 + Strokes!P33))</f>
        <v/>
      </c>
      <c r="Q33" s="12" t="str">
        <f>if(Actuals!R33 = "", "",if(Actuals!$A33=1,"",Actuals!R33 + Strokes!Q33))</f>
        <v/>
      </c>
      <c r="R33" s="12" t="str">
        <f>if(#REF! = "", "",if(Actuals!$A33=1,"",#REF! + #REF!))</f>
        <v>#REF!</v>
      </c>
      <c r="S33" s="12" t="str">
        <f>if(#REF! = "", "",if(Actuals!$A33=1,"",#REF! + #REF!))</f>
        <v>#REF!</v>
      </c>
      <c r="T33" s="80"/>
      <c r="U33" s="80"/>
      <c r="V33" s="80"/>
      <c r="W33" s="80"/>
      <c r="X33" s="80"/>
      <c r="Y33" s="80"/>
      <c r="Z33" s="80"/>
    </row>
    <row r="34">
      <c r="A34" s="16" t="str">
        <f>Actuals!B34</f>
        <v>Ryan R</v>
      </c>
      <c r="B34" s="12" t="str">
        <f>if(Actuals!C34 = "", "",if(Actuals!$A34=1,"",Actuals!C34 + Strokes!B34))</f>
        <v/>
      </c>
      <c r="C34" s="12" t="str">
        <f>if(Actuals!D34 = "", "",if(Actuals!$A34=1,"",Actuals!D34 + Strokes!C34))</f>
        <v/>
      </c>
      <c r="D34" s="12" t="str">
        <f>if(Actuals!E34 = "", "",if(Actuals!$A34=1,"",Actuals!E34 + Strokes!D34))</f>
        <v/>
      </c>
      <c r="E34" s="12" t="str">
        <f>if(Actuals!F34 = "", "",if(Actuals!$A34=1,"",Actuals!F34 + Strokes!E34))</f>
        <v/>
      </c>
      <c r="F34" s="12" t="str">
        <f>if(Actuals!G34 = "", "",if(Actuals!$A34=1,"",Actuals!G34 + Strokes!F34))</f>
        <v/>
      </c>
      <c r="G34" s="12" t="str">
        <f>if(Actuals!H34 = "", "",if(Actuals!$A34=1,"",Actuals!H34 + Strokes!G34))</f>
        <v/>
      </c>
      <c r="H34" s="12" t="str">
        <f>if(Actuals!I34 = "", "",if(Actuals!$A34=1,"",Actuals!I34 + Strokes!H34))</f>
        <v/>
      </c>
      <c r="I34" s="12" t="str">
        <f>if(Actuals!J34 = "", "",if(Actuals!$A34=1,"",Actuals!J34 + Strokes!I34))</f>
        <v/>
      </c>
      <c r="J34" s="12" t="str">
        <f>if(Actuals!K34 = "", "",if(Actuals!$A34=1,"",Actuals!K34 + Strokes!J34))</f>
        <v/>
      </c>
      <c r="K34" s="12" t="str">
        <f>if(Actuals!L34 = "", "",if(Actuals!$A34=1,"",Actuals!L34 + Strokes!K34))</f>
        <v/>
      </c>
      <c r="L34" s="12" t="str">
        <f>if(Actuals!M34 = "", "",if(Actuals!$A34=1,"",Actuals!M34 + Strokes!L34))</f>
        <v/>
      </c>
      <c r="M34" s="12" t="str">
        <f>if(Actuals!N34 = "", "",if(Actuals!$A34=1,"",Actuals!N34 + Strokes!M34))</f>
        <v/>
      </c>
      <c r="N34" s="12" t="str">
        <f>if(Actuals!O34 = "", "",if(Actuals!$A34=1,"",Actuals!O34 + Strokes!N34))</f>
        <v/>
      </c>
      <c r="O34" s="12" t="str">
        <f>if(Actuals!P34 = "", "",if(Actuals!$A34=1,"",Actuals!P34 + Strokes!O34))</f>
        <v/>
      </c>
      <c r="P34" s="12" t="str">
        <f>if(Actuals!Q34 = "", "",if(Actuals!$A34=1,"",Actuals!Q34 + Strokes!P34))</f>
        <v/>
      </c>
      <c r="Q34" s="12" t="str">
        <f>if(Actuals!R34 = "", "",if(Actuals!$A34=1,"",Actuals!R34 + Strokes!Q34))</f>
        <v/>
      </c>
      <c r="R34" s="12" t="str">
        <f>if(#REF! = "", "",if(Actuals!$A34=1,"",#REF! + #REF!))</f>
        <v>#REF!</v>
      </c>
      <c r="S34" s="12" t="str">
        <f>if(#REF! = "", "",if(Actuals!$A34=1,"",#REF! + #REF!))</f>
        <v>#REF!</v>
      </c>
      <c r="T34" s="80"/>
      <c r="U34" s="80"/>
      <c r="V34" s="80"/>
      <c r="W34" s="80"/>
      <c r="X34" s="80"/>
      <c r="Y34" s="80"/>
      <c r="Z34" s="80"/>
    </row>
    <row r="35">
      <c r="A35" s="16" t="str">
        <f>Actuals!B35</f>
        <v>Scott M</v>
      </c>
      <c r="B35" s="12" t="str">
        <f>if(Actuals!C35 = "", "",if(Actuals!$A35=1,"",Actuals!C35 + Strokes!B35))</f>
        <v/>
      </c>
      <c r="C35" s="12" t="str">
        <f>if(Actuals!D35 = "", "",if(Actuals!$A35=1,"",Actuals!D35 + Strokes!C35))</f>
        <v/>
      </c>
      <c r="D35" s="12" t="str">
        <f>if(Actuals!E35 = "", "",if(Actuals!$A35=1,"",Actuals!E35 + Strokes!D35))</f>
        <v/>
      </c>
      <c r="E35" s="12" t="str">
        <f>if(Actuals!F35 = "", "",if(Actuals!$A35=1,"",Actuals!F35 + Strokes!E35))</f>
        <v/>
      </c>
      <c r="F35" s="12" t="str">
        <f>if(Actuals!G35 = "", "",if(Actuals!$A35=1,"",Actuals!G35 + Strokes!F35))</f>
        <v/>
      </c>
      <c r="G35" s="12" t="str">
        <f>if(Actuals!H35 = "", "",if(Actuals!$A35=1,"",Actuals!H35 + Strokes!G35))</f>
        <v/>
      </c>
      <c r="H35" s="12" t="str">
        <f>if(Actuals!I35 = "", "",if(Actuals!$A35=1,"",Actuals!I35 + Strokes!H35))</f>
        <v/>
      </c>
      <c r="I35" s="12" t="str">
        <f>if(Actuals!J35 = "", "",if(Actuals!$A35=1,"",Actuals!J35 + Strokes!I35))</f>
        <v/>
      </c>
      <c r="J35" s="12" t="str">
        <f>if(Actuals!K35 = "", "",if(Actuals!$A35=1,"",Actuals!K35 + Strokes!J35))</f>
        <v/>
      </c>
      <c r="K35" s="12" t="str">
        <f>if(Actuals!L35 = "", "",if(Actuals!$A35=1,"",Actuals!L35 + Strokes!K35))</f>
        <v/>
      </c>
      <c r="L35" s="12" t="str">
        <f>if(Actuals!M35 = "", "",if(Actuals!$A35=1,"",Actuals!M35 + Strokes!L35))</f>
        <v/>
      </c>
      <c r="M35" s="12" t="str">
        <f>if(Actuals!N35 = "", "",if(Actuals!$A35=1,"",Actuals!N35 + Strokes!M35))</f>
        <v/>
      </c>
      <c r="N35" s="12" t="str">
        <f>if(Actuals!O35 = "", "",if(Actuals!$A35=1,"",Actuals!O35 + Strokes!N35))</f>
        <v/>
      </c>
      <c r="O35" s="12" t="str">
        <f>if(Actuals!P35 = "", "",if(Actuals!$A35=1,"",Actuals!P35 + Strokes!O35))</f>
        <v/>
      </c>
      <c r="P35" s="12" t="str">
        <f>if(Actuals!Q35 = "", "",if(Actuals!$A35=1,"",Actuals!Q35 + Strokes!P35))</f>
        <v/>
      </c>
      <c r="Q35" s="12" t="str">
        <f>if(Actuals!R35 = "", "",if(Actuals!$A35=1,"",Actuals!R35 + Strokes!Q35))</f>
        <v/>
      </c>
      <c r="R35" s="12" t="str">
        <f>if(#REF! = "", "",if(Actuals!$A35=1,"",#REF! + #REF!))</f>
        <v>#REF!</v>
      </c>
      <c r="S35" s="12" t="str">
        <f>if(#REF! = "", "",if(Actuals!$A35=1,"",#REF! + #REF!))</f>
        <v>#REF!</v>
      </c>
      <c r="T35" s="80"/>
      <c r="U35" s="80"/>
      <c r="V35" s="80"/>
      <c r="W35" s="80"/>
      <c r="X35" s="80"/>
      <c r="Y35" s="80"/>
      <c r="Z35" s="80"/>
    </row>
    <row r="36">
      <c r="A36" s="16" t="str">
        <f>Actuals!B36</f>
        <v>Seth A</v>
      </c>
      <c r="B36" s="12" t="str">
        <f>if(Actuals!C36 = "", "",if(Actuals!$A36=1,"",Actuals!C36 + Strokes!B36))</f>
        <v/>
      </c>
      <c r="C36" s="12" t="str">
        <f>if(Actuals!D36 = "", "",if(Actuals!$A36=1,"",Actuals!D36 + Strokes!C36))</f>
        <v/>
      </c>
      <c r="D36" s="12" t="str">
        <f>if(Actuals!E36 = "", "",if(Actuals!$A36=1,"",Actuals!E36 + Strokes!D36))</f>
        <v/>
      </c>
      <c r="E36" s="12" t="str">
        <f>if(Actuals!F36 = "", "",if(Actuals!$A36=1,"",Actuals!F36 + Strokes!E36))</f>
        <v/>
      </c>
      <c r="F36" s="12" t="str">
        <f>if(Actuals!G36 = "", "",if(Actuals!$A36=1,"",Actuals!G36 + Strokes!F36))</f>
        <v/>
      </c>
      <c r="G36" s="12" t="str">
        <f>if(Actuals!H36 = "", "",if(Actuals!$A36=1,"",Actuals!H36 + Strokes!G36))</f>
        <v/>
      </c>
      <c r="H36" s="12" t="str">
        <f>if(Actuals!I36 = "", "",if(Actuals!$A36=1,"",Actuals!I36 + Strokes!H36))</f>
        <v/>
      </c>
      <c r="I36" s="12" t="str">
        <f>if(Actuals!J36 = "", "",if(Actuals!$A36=1,"",Actuals!J36 + Strokes!I36))</f>
        <v/>
      </c>
      <c r="J36" s="12" t="str">
        <f>if(Actuals!K36 = "", "",if(Actuals!$A36=1,"",Actuals!K36 + Strokes!J36))</f>
        <v/>
      </c>
      <c r="K36" s="12" t="str">
        <f>if(Actuals!L36 = "", "",if(Actuals!$A36=1,"",Actuals!L36 + Strokes!K36))</f>
        <v/>
      </c>
      <c r="L36" s="12" t="str">
        <f>if(Actuals!M36 = "", "",if(Actuals!$A36=1,"",Actuals!M36 + Strokes!L36))</f>
        <v/>
      </c>
      <c r="M36" s="12" t="str">
        <f>if(Actuals!N36 = "", "",if(Actuals!$A36=1,"",Actuals!N36 + Strokes!M36))</f>
        <v/>
      </c>
      <c r="N36" s="12" t="str">
        <f>if(Actuals!O36 = "", "",if(Actuals!$A36=1,"",Actuals!O36 + Strokes!N36))</f>
        <v/>
      </c>
      <c r="O36" s="12" t="str">
        <f>if(Actuals!P36 = "", "",if(Actuals!$A36=1,"",Actuals!P36 + Strokes!O36))</f>
        <v/>
      </c>
      <c r="P36" s="12" t="str">
        <f>if(Actuals!Q36 = "", "",if(Actuals!$A36=1,"",Actuals!Q36 + Strokes!P36))</f>
        <v/>
      </c>
      <c r="Q36" s="12" t="str">
        <f>if(Actuals!R36 = "", "",if(Actuals!$A36=1,"",Actuals!R36 + Strokes!Q36))</f>
        <v/>
      </c>
      <c r="R36" s="12" t="str">
        <f>if(#REF! = "", "",if(Actuals!$A36=1,"",#REF! + #REF!))</f>
        <v>#REF!</v>
      </c>
      <c r="S36" s="12" t="str">
        <f>if(#REF! = "", "",if(Actuals!$A36=1,"",#REF! + #REF!))</f>
        <v>#REF!</v>
      </c>
      <c r="T36" s="80"/>
      <c r="U36" s="80"/>
      <c r="V36" s="80"/>
      <c r="W36" s="80"/>
      <c r="X36" s="80"/>
      <c r="Y36" s="80"/>
      <c r="Z36" s="80"/>
    </row>
    <row r="37">
      <c r="A37" s="16" t="str">
        <f>Actuals!B37</f>
        <v>Simon R</v>
      </c>
      <c r="B37" s="12">
        <f>if(Actuals!C37 = "", "",if(Actuals!$A37=1,"",Actuals!C37 + Strokes!B37))</f>
        <v>35.1</v>
      </c>
      <c r="C37" s="12" t="str">
        <f>if(Actuals!D37 = "", "",if(Actuals!$A37=1,"",Actuals!D37 + Strokes!C37))</f>
        <v/>
      </c>
      <c r="D37" s="12" t="str">
        <f>if(Actuals!E37 = "", "",if(Actuals!$A37=1,"",Actuals!E37 + Strokes!D37))</f>
        <v/>
      </c>
      <c r="E37" s="12" t="str">
        <f>if(Actuals!F37 = "", "",if(Actuals!$A37=1,"",Actuals!F37 + Strokes!E37))</f>
        <v/>
      </c>
      <c r="F37" s="12" t="str">
        <f>if(Actuals!G37 = "", "",if(Actuals!$A37=1,"",Actuals!G37 + Strokes!F37))</f>
        <v/>
      </c>
      <c r="G37" s="12" t="str">
        <f>if(Actuals!H37 = "", "",if(Actuals!$A37=1,"",Actuals!H37 + Strokes!G37))</f>
        <v/>
      </c>
      <c r="H37" s="12" t="str">
        <f>if(Actuals!I37 = "", "",if(Actuals!$A37=1,"",Actuals!I37 + Strokes!H37))</f>
        <v/>
      </c>
      <c r="I37" s="12" t="str">
        <f>if(Actuals!J37 = "", "",if(Actuals!$A37=1,"",Actuals!J37 + Strokes!I37))</f>
        <v/>
      </c>
      <c r="J37" s="12" t="str">
        <f>if(Actuals!K37 = "", "",if(Actuals!$A37=1,"",Actuals!K37 + Strokes!J37))</f>
        <v/>
      </c>
      <c r="K37" s="12" t="str">
        <f>if(Actuals!L37 = "", "",if(Actuals!$A37=1,"",Actuals!L37 + Strokes!K37))</f>
        <v/>
      </c>
      <c r="L37" s="12" t="str">
        <f>if(Actuals!M37 = "", "",if(Actuals!$A37=1,"",Actuals!M37 + Strokes!L37))</f>
        <v/>
      </c>
      <c r="M37" s="12" t="str">
        <f>if(Actuals!N37 = "", "",if(Actuals!$A37=1,"",Actuals!N37 + Strokes!M37))</f>
        <v/>
      </c>
      <c r="N37" s="12" t="str">
        <f>if(Actuals!O37 = "", "",if(Actuals!$A37=1,"",Actuals!O37 + Strokes!N37))</f>
        <v/>
      </c>
      <c r="O37" s="12" t="str">
        <f>if(Actuals!P37 = "", "",if(Actuals!$A37=1,"",Actuals!P37 + Strokes!O37))</f>
        <v/>
      </c>
      <c r="P37" s="12" t="str">
        <f>if(Actuals!Q37 = "", "",if(Actuals!$A37=1,"",Actuals!Q37 + Strokes!P37))</f>
        <v/>
      </c>
      <c r="Q37" s="12" t="str">
        <f>if(Actuals!R37 = "", "",if(Actuals!$A37=1,"",Actuals!R37 + Strokes!Q37))</f>
        <v/>
      </c>
      <c r="R37" s="12" t="str">
        <f>if(#REF! = "", "",if(Actuals!$A37=1,"",#REF! + #REF!))</f>
        <v>#REF!</v>
      </c>
      <c r="S37" s="12" t="str">
        <f>if(#REF! = "", "",if(Actuals!$A37=1,"",#REF! + #REF!))</f>
        <v>#REF!</v>
      </c>
      <c r="T37" s="80"/>
      <c r="U37" s="80"/>
      <c r="V37" s="80"/>
      <c r="W37" s="80"/>
      <c r="X37" s="80"/>
      <c r="Y37" s="80"/>
      <c r="Z37" s="80"/>
    </row>
    <row r="38">
      <c r="A38" s="16" t="str">
        <f>Actuals!B38</f>
        <v>Steve S</v>
      </c>
      <c r="B38" s="12" t="str">
        <f>if(Actuals!C38 = "", "",if(Actuals!$A38=1,"",Actuals!C38 + Strokes!B38))</f>
        <v/>
      </c>
      <c r="C38" s="12" t="str">
        <f>if(Actuals!D38 = "", "",if(Actuals!$A38=1,"",Actuals!D38 + Strokes!C38))</f>
        <v/>
      </c>
      <c r="D38" s="12" t="str">
        <f>if(Actuals!E38 = "", "",if(Actuals!$A38=1,"",Actuals!E38 + Strokes!D38))</f>
        <v/>
      </c>
      <c r="E38" s="12" t="str">
        <f>if(Actuals!F38 = "", "",if(Actuals!$A38=1,"",Actuals!F38 + Strokes!E38))</f>
        <v/>
      </c>
      <c r="F38" s="12" t="str">
        <f>if(Actuals!G38 = "", "",if(Actuals!$A38=1,"",Actuals!G38 + Strokes!F38))</f>
        <v/>
      </c>
      <c r="G38" s="12" t="str">
        <f>if(Actuals!H38 = "", "",if(Actuals!$A38=1,"",Actuals!H38 + Strokes!G38))</f>
        <v/>
      </c>
      <c r="H38" s="12" t="str">
        <f>if(Actuals!I38 = "", "",if(Actuals!$A38=1,"",Actuals!I38 + Strokes!H38))</f>
        <v/>
      </c>
      <c r="I38" s="12" t="str">
        <f>if(Actuals!J38 = "", "",if(Actuals!$A38=1,"",Actuals!J38 + Strokes!I38))</f>
        <v/>
      </c>
      <c r="J38" s="12" t="str">
        <f>if(Actuals!K38 = "", "",if(Actuals!$A38=1,"",Actuals!K38 + Strokes!J38))</f>
        <v/>
      </c>
      <c r="K38" s="12" t="str">
        <f>if(Actuals!L38 = "", "",if(Actuals!$A38=1,"",Actuals!L38 + Strokes!K38))</f>
        <v/>
      </c>
      <c r="L38" s="12" t="str">
        <f>if(Actuals!M38 = "", "",if(Actuals!$A38=1,"",Actuals!M38 + Strokes!L38))</f>
        <v/>
      </c>
      <c r="M38" s="12" t="str">
        <f>if(Actuals!N38 = "", "",if(Actuals!$A38=1,"",Actuals!N38 + Strokes!M38))</f>
        <v/>
      </c>
      <c r="N38" s="12" t="str">
        <f>if(Actuals!O38 = "", "",if(Actuals!$A38=1,"",Actuals!O38 + Strokes!N38))</f>
        <v/>
      </c>
      <c r="O38" s="12" t="str">
        <f>if(Actuals!P38 = "", "",if(Actuals!$A38=1,"",Actuals!P38 + Strokes!O38))</f>
        <v/>
      </c>
      <c r="P38" s="12" t="str">
        <f>if(Actuals!Q38 = "", "",if(Actuals!$A38=1,"",Actuals!Q38 + Strokes!P38))</f>
        <v/>
      </c>
      <c r="Q38" s="12" t="str">
        <f>if(Actuals!R38 = "", "",if(Actuals!$A38=1,"",Actuals!R38 + Strokes!Q38))</f>
        <v/>
      </c>
      <c r="R38" s="12" t="str">
        <f>if(#REF! = "", "",if(Actuals!$A38=1,"",#REF! + #REF!))</f>
        <v>#REF!</v>
      </c>
      <c r="S38" s="12" t="str">
        <f>if(#REF! = "", "",if(Actuals!$A38=1,"",#REF! + #REF!))</f>
        <v>#REF!</v>
      </c>
      <c r="T38" s="80"/>
      <c r="U38" s="80"/>
      <c r="V38" s="80"/>
      <c r="W38" s="80"/>
      <c r="X38" s="80"/>
      <c r="Y38" s="80"/>
      <c r="Z38" s="80"/>
    </row>
    <row r="39">
      <c r="A39" s="16" t="str">
        <f>Actuals!B39</f>
        <v>Tanner Brown</v>
      </c>
      <c r="B39" s="12" t="str">
        <f>if(Actuals!C39 = "", "",if(Actuals!$A39=1,"",Actuals!C39 + Strokes!B39))</f>
        <v/>
      </c>
      <c r="C39" s="12">
        <f>if(Actuals!D39 = "", "",if(Actuals!$A39=1,"",Actuals!D39 + Strokes!C39))</f>
        <v>35.5</v>
      </c>
      <c r="D39" s="12" t="str">
        <f>if(Actuals!E39 = "", "",if(Actuals!$A39=1,"",Actuals!E39 + Strokes!D39))</f>
        <v/>
      </c>
      <c r="E39" s="12" t="str">
        <f>if(Actuals!F39 = "", "",if(Actuals!$A39=1,"",Actuals!F39 + Strokes!E39))</f>
        <v/>
      </c>
      <c r="F39" s="12" t="str">
        <f>if(Actuals!G39 = "", "",if(Actuals!$A39=1,"",Actuals!G39 + Strokes!F39))</f>
        <v/>
      </c>
      <c r="G39" s="12" t="str">
        <f>if(Actuals!H39 = "", "",if(Actuals!$A39=1,"",Actuals!H39 + Strokes!G39))</f>
        <v/>
      </c>
      <c r="H39" s="12" t="str">
        <f>if(Actuals!I39 = "", "",if(Actuals!$A39=1,"",Actuals!I39 + Strokes!H39))</f>
        <v/>
      </c>
      <c r="I39" s="12" t="str">
        <f>if(Actuals!J39 = "", "",if(Actuals!$A39=1,"",Actuals!J39 + Strokes!I39))</f>
        <v/>
      </c>
      <c r="J39" s="12" t="str">
        <f>if(Actuals!K39 = "", "",if(Actuals!$A39=1,"",Actuals!K39 + Strokes!J39))</f>
        <v/>
      </c>
      <c r="K39" s="12" t="str">
        <f>if(Actuals!L39 = "", "",if(Actuals!$A39=1,"",Actuals!L39 + Strokes!K39))</f>
        <v/>
      </c>
      <c r="L39" s="12" t="str">
        <f>if(Actuals!M39 = "", "",if(Actuals!$A39=1,"",Actuals!M39 + Strokes!L39))</f>
        <v/>
      </c>
      <c r="M39" s="12" t="str">
        <f>if(Actuals!N39 = "", "",if(Actuals!$A39=1,"",Actuals!N39 + Strokes!M39))</f>
        <v/>
      </c>
      <c r="N39" s="12" t="str">
        <f>if(Actuals!O39 = "", "",if(Actuals!$A39=1,"",Actuals!O39 + Strokes!N39))</f>
        <v/>
      </c>
      <c r="O39" s="12" t="str">
        <f>if(Actuals!P39 = "", "",if(Actuals!$A39=1,"",Actuals!P39 + Strokes!O39))</f>
        <v/>
      </c>
      <c r="P39" s="12" t="str">
        <f>if(Actuals!Q39 = "", "",if(Actuals!$A39=1,"",Actuals!Q39 + Strokes!P39))</f>
        <v/>
      </c>
      <c r="Q39" s="12" t="str">
        <f>if(Actuals!R39 = "", "",if(Actuals!$A39=1,"",Actuals!R39 + Strokes!Q39))</f>
        <v/>
      </c>
      <c r="R39" s="12" t="str">
        <f>if(#REF! = "", "",if(Actuals!$A39=1,"",#REF! + #REF!))</f>
        <v>#REF!</v>
      </c>
      <c r="S39" s="12" t="str">
        <f>if(#REF! = "", "",if(Actuals!$A39=1,"",#REF! + #REF!))</f>
        <v>#REF!</v>
      </c>
      <c r="T39" s="80"/>
      <c r="U39" s="80"/>
      <c r="V39" s="80"/>
      <c r="W39" s="80"/>
      <c r="X39" s="80"/>
      <c r="Y39" s="80"/>
      <c r="Z39" s="80"/>
    </row>
    <row r="40">
      <c r="A40" s="16" t="str">
        <f>Actuals!B40</f>
        <v>Tanner Buechele</v>
      </c>
      <c r="B40" s="12" t="str">
        <f>if(Actuals!C40 = "", "",if(Actuals!$A40=1,"",Actuals!C40 + Strokes!B40))</f>
        <v/>
      </c>
      <c r="C40" s="12" t="str">
        <f>if(Actuals!D40 = "", "",if(Actuals!$A40=1,"",Actuals!D40 + Strokes!C40))</f>
        <v/>
      </c>
      <c r="D40" s="12" t="str">
        <f>if(Actuals!E40 = "", "",if(Actuals!$A40=1,"",Actuals!E40 + Strokes!D40))</f>
        <v/>
      </c>
      <c r="E40" s="12" t="str">
        <f>if(Actuals!F40 = "", "",if(Actuals!$A40=1,"",Actuals!F40 + Strokes!E40))</f>
        <v/>
      </c>
      <c r="F40" s="12" t="str">
        <f>if(Actuals!G40 = "", "",if(Actuals!$A40=1,"",Actuals!G40 + Strokes!F40))</f>
        <v/>
      </c>
      <c r="G40" s="12" t="str">
        <f>if(Actuals!H40 = "", "",if(Actuals!$A40=1,"",Actuals!H40 + Strokes!G40))</f>
        <v/>
      </c>
      <c r="H40" s="12" t="str">
        <f>if(Actuals!I40 = "", "",if(Actuals!$A40=1,"",Actuals!I40 + Strokes!H40))</f>
        <v/>
      </c>
      <c r="I40" s="12" t="str">
        <f>if(Actuals!J40 = "", "",if(Actuals!$A40=1,"",Actuals!J40 + Strokes!I40))</f>
        <v/>
      </c>
      <c r="J40" s="12" t="str">
        <f>if(Actuals!K40 = "", "",if(Actuals!$A40=1,"",Actuals!K40 + Strokes!J40))</f>
        <v/>
      </c>
      <c r="K40" s="12" t="str">
        <f>if(Actuals!L40 = "", "",if(Actuals!$A40=1,"",Actuals!L40 + Strokes!K40))</f>
        <v/>
      </c>
      <c r="L40" s="12" t="str">
        <f>if(Actuals!M40 = "", "",if(Actuals!$A40=1,"",Actuals!M40 + Strokes!L40))</f>
        <v/>
      </c>
      <c r="M40" s="12" t="str">
        <f>if(Actuals!N40 = "", "",if(Actuals!$A40=1,"",Actuals!N40 + Strokes!M40))</f>
        <v/>
      </c>
      <c r="N40" s="12" t="str">
        <f>if(Actuals!O40 = "", "",if(Actuals!$A40=1,"",Actuals!O40 + Strokes!N40))</f>
        <v/>
      </c>
      <c r="O40" s="12" t="str">
        <f>if(Actuals!P40 = "", "",if(Actuals!$A40=1,"",Actuals!P40 + Strokes!O40))</f>
        <v/>
      </c>
      <c r="P40" s="12" t="str">
        <f>if(Actuals!Q40 = "", "",if(Actuals!$A40=1,"",Actuals!Q40 + Strokes!P40))</f>
        <v/>
      </c>
      <c r="Q40" s="12" t="str">
        <f>if(Actuals!R40 = "", "",if(Actuals!$A40=1,"",Actuals!R40 + Strokes!Q40))</f>
        <v/>
      </c>
      <c r="R40" s="12" t="str">
        <f>if(#REF! = "", "",if(Actuals!$A40=1,"",#REF! + #REF!))</f>
        <v>#REF!</v>
      </c>
      <c r="S40" s="12" t="str">
        <f>if(#REF! = "", "",if(Actuals!$A40=1,"",#REF! + #REF!))</f>
        <v>#REF!</v>
      </c>
      <c r="T40" s="80"/>
      <c r="U40" s="80"/>
      <c r="V40" s="80"/>
      <c r="W40" s="80"/>
      <c r="X40" s="80"/>
      <c r="Y40" s="80"/>
      <c r="Z40" s="80"/>
    </row>
    <row r="41">
      <c r="A41" s="16" t="str">
        <f>Actuals!B41</f>
        <v>Thomas Y</v>
      </c>
      <c r="B41" s="12" t="str">
        <f>if(Actuals!C41 = "", "",if(Actuals!$A41=1,"",Actuals!C41 + Strokes!B41))</f>
        <v/>
      </c>
      <c r="C41" s="12" t="str">
        <f>if(Actuals!D41 = "", "",if(Actuals!$A41=1,"",Actuals!D41 + Strokes!C41))</f>
        <v/>
      </c>
      <c r="D41" s="12" t="str">
        <f>if(Actuals!E41 = "", "",if(Actuals!$A41=1,"",Actuals!E41 + Strokes!D41))</f>
        <v/>
      </c>
      <c r="E41" s="12" t="str">
        <f>if(Actuals!F41 = "", "",if(Actuals!$A41=1,"",Actuals!F41 + Strokes!E41))</f>
        <v/>
      </c>
      <c r="F41" s="12" t="str">
        <f>if(Actuals!G41 = "", "",if(Actuals!$A41=1,"",Actuals!G41 + Strokes!F41))</f>
        <v/>
      </c>
      <c r="G41" s="12" t="str">
        <f>if(Actuals!H41 = "", "",if(Actuals!$A41=1,"",Actuals!H41 + Strokes!G41))</f>
        <v/>
      </c>
      <c r="H41" s="12" t="str">
        <f>if(Actuals!I41 = "", "",if(Actuals!$A41=1,"",Actuals!I41 + Strokes!H41))</f>
        <v/>
      </c>
      <c r="I41" s="12" t="str">
        <f>if(Actuals!J41 = "", "",if(Actuals!$A41=1,"",Actuals!J41 + Strokes!I41))</f>
        <v/>
      </c>
      <c r="J41" s="12" t="str">
        <f>if(Actuals!K41 = "", "",if(Actuals!$A41=1,"",Actuals!K41 + Strokes!J41))</f>
        <v/>
      </c>
      <c r="K41" s="12" t="str">
        <f>if(Actuals!L41 = "", "",if(Actuals!$A41=1,"",Actuals!L41 + Strokes!K41))</f>
        <v/>
      </c>
      <c r="L41" s="12" t="str">
        <f>if(Actuals!M41 = "", "",if(Actuals!$A41=1,"",Actuals!M41 + Strokes!L41))</f>
        <v/>
      </c>
      <c r="M41" s="12" t="str">
        <f>if(Actuals!N41 = "", "",if(Actuals!$A41=1,"",Actuals!N41 + Strokes!M41))</f>
        <v/>
      </c>
      <c r="N41" s="12" t="str">
        <f>if(Actuals!O41 = "", "",if(Actuals!$A41=1,"",Actuals!O41 + Strokes!N41))</f>
        <v/>
      </c>
      <c r="O41" s="12" t="str">
        <f>if(Actuals!P41 = "", "",if(Actuals!$A41=1,"",Actuals!P41 + Strokes!O41))</f>
        <v/>
      </c>
      <c r="P41" s="12" t="str">
        <f>if(Actuals!Q41 = "", "",if(Actuals!$A41=1,"",Actuals!Q41 + Strokes!P41))</f>
        <v/>
      </c>
      <c r="Q41" s="12" t="str">
        <f>if(Actuals!R41 = "", "",if(Actuals!$A41=1,"",Actuals!R41 + Strokes!Q41))</f>
        <v/>
      </c>
      <c r="R41" s="12" t="str">
        <f>if(#REF! = "", "",if(Actuals!$A41=1,"",#REF! + #REF!))</f>
        <v>#REF!</v>
      </c>
      <c r="S41" s="12" t="str">
        <f>if(#REF! = "", "",if(Actuals!$A41=1,"",#REF! + #REF!))</f>
        <v>#REF!</v>
      </c>
      <c r="T41" s="80"/>
      <c r="U41" s="80"/>
      <c r="V41" s="80"/>
      <c r="W41" s="80"/>
      <c r="X41" s="80"/>
      <c r="Y41" s="80"/>
      <c r="Z41" s="80"/>
    </row>
    <row r="42">
      <c r="A42" s="16" t="str">
        <f>Actuals!B42</f>
        <v>Tom B</v>
      </c>
      <c r="B42" s="12" t="str">
        <f>if(Actuals!C42 = "", "",if(Actuals!$A42=1,"",Actuals!C42 + Strokes!B42))</f>
        <v/>
      </c>
      <c r="C42" s="12" t="str">
        <f>if(Actuals!D42 = "", "",if(Actuals!$A42=1,"",Actuals!D42 + Strokes!C42))</f>
        <v/>
      </c>
      <c r="D42" s="12" t="str">
        <f>if(Actuals!E42 = "", "",if(Actuals!$A42=1,"",Actuals!E42 + Strokes!D42))</f>
        <v/>
      </c>
      <c r="E42" s="12" t="str">
        <f>if(Actuals!F42 = "", "",if(Actuals!$A42=1,"",Actuals!F42 + Strokes!E42))</f>
        <v/>
      </c>
      <c r="F42" s="12" t="str">
        <f>if(Actuals!G42 = "", "",if(Actuals!$A42=1,"",Actuals!G42 + Strokes!F42))</f>
        <v/>
      </c>
      <c r="G42" s="12" t="str">
        <f>if(Actuals!H42 = "", "",if(Actuals!$A42=1,"",Actuals!H42 + Strokes!G42))</f>
        <v/>
      </c>
      <c r="H42" s="12" t="str">
        <f>if(Actuals!I42 = "", "",if(Actuals!$A42=1,"",Actuals!I42 + Strokes!H42))</f>
        <v/>
      </c>
      <c r="I42" s="12" t="str">
        <f>if(Actuals!J42 = "", "",if(Actuals!$A42=1,"",Actuals!J42 + Strokes!I42))</f>
        <v/>
      </c>
      <c r="J42" s="12" t="str">
        <f>if(Actuals!K42 = "", "",if(Actuals!$A42=1,"",Actuals!K42 + Strokes!J42))</f>
        <v/>
      </c>
      <c r="K42" s="12" t="str">
        <f>if(Actuals!L42 = "", "",if(Actuals!$A42=1,"",Actuals!L42 + Strokes!K42))</f>
        <v/>
      </c>
      <c r="L42" s="12" t="str">
        <f>if(Actuals!M42 = "", "",if(Actuals!$A42=1,"",Actuals!M42 + Strokes!L42))</f>
        <v/>
      </c>
      <c r="M42" s="12" t="str">
        <f>if(Actuals!N42 = "", "",if(Actuals!$A42=1,"",Actuals!N42 + Strokes!M42))</f>
        <v/>
      </c>
      <c r="N42" s="12" t="str">
        <f>if(Actuals!O42 = "", "",if(Actuals!$A42=1,"",Actuals!O42 + Strokes!N42))</f>
        <v/>
      </c>
      <c r="O42" s="12" t="str">
        <f>if(Actuals!P42 = "", "",if(Actuals!$A42=1,"",Actuals!P42 + Strokes!O42))</f>
        <v/>
      </c>
      <c r="P42" s="12" t="str">
        <f>if(Actuals!Q42 = "", "",if(Actuals!$A42=1,"",Actuals!Q42 + Strokes!P42))</f>
        <v/>
      </c>
      <c r="Q42" s="12" t="str">
        <f>if(Actuals!R42 = "", "",if(Actuals!$A42=1,"",Actuals!R42 + Strokes!Q42))</f>
        <v/>
      </c>
      <c r="R42" s="12" t="str">
        <f>if(#REF! = "", "",if(Actuals!$A42=1,"",#REF! + #REF!))</f>
        <v>#REF!</v>
      </c>
      <c r="S42" s="12" t="str">
        <f>if(#REF! = "", "",if(Actuals!$A42=1,"",#REF! + #REF!))</f>
        <v>#REF!</v>
      </c>
      <c r="T42" s="80"/>
      <c r="U42" s="80"/>
      <c r="V42" s="80"/>
      <c r="W42" s="80"/>
      <c r="X42" s="80"/>
      <c r="Y42" s="80"/>
      <c r="Z42" s="80"/>
    </row>
    <row r="43">
      <c r="A43" s="16" t="str">
        <f>Actuals!B43</f>
        <v>Tommy</v>
      </c>
      <c r="B43" s="12" t="str">
        <f>if(Actuals!C43 = "", "",if(Actuals!$A43=1,"",Actuals!C43 + Strokes!B43))</f>
        <v/>
      </c>
      <c r="C43" s="12" t="str">
        <f>if(Actuals!D43 = "", "",if(Actuals!$A43=1,"",Actuals!D43 + Strokes!C43))</f>
        <v/>
      </c>
      <c r="D43" s="12" t="str">
        <f>if(Actuals!E43 = "", "",if(Actuals!$A43=1,"",Actuals!E43 + Strokes!D43))</f>
        <v/>
      </c>
      <c r="E43" s="12" t="str">
        <f>if(Actuals!F43 = "", "",if(Actuals!$A43=1,"",Actuals!F43 + Strokes!E43))</f>
        <v/>
      </c>
      <c r="F43" s="12" t="str">
        <f>if(Actuals!G43 = "", "",if(Actuals!$A43=1,"",Actuals!G43 + Strokes!F43))</f>
        <v/>
      </c>
      <c r="G43" s="12" t="str">
        <f>if(Actuals!H43 = "", "",if(Actuals!$A43=1,"",Actuals!H43 + Strokes!G43))</f>
        <v/>
      </c>
      <c r="H43" s="12" t="str">
        <f>if(Actuals!I43 = "", "",if(Actuals!$A43=1,"",Actuals!I43 + Strokes!H43))</f>
        <v/>
      </c>
      <c r="I43" s="12" t="str">
        <f>if(Actuals!J43 = "", "",if(Actuals!$A43=1,"",Actuals!J43 + Strokes!I43))</f>
        <v/>
      </c>
      <c r="J43" s="12" t="str">
        <f>if(Actuals!K43 = "", "",if(Actuals!$A43=1,"",Actuals!K43 + Strokes!J43))</f>
        <v/>
      </c>
      <c r="K43" s="12" t="str">
        <f>if(Actuals!L43 = "", "",if(Actuals!$A43=1,"",Actuals!L43 + Strokes!K43))</f>
        <v/>
      </c>
      <c r="L43" s="12" t="str">
        <f>if(Actuals!M43 = "", "",if(Actuals!$A43=1,"",Actuals!M43 + Strokes!L43))</f>
        <v/>
      </c>
      <c r="M43" s="12" t="str">
        <f>if(Actuals!N43 = "", "",if(Actuals!$A43=1,"",Actuals!N43 + Strokes!M43))</f>
        <v/>
      </c>
      <c r="N43" s="12" t="str">
        <f>if(Actuals!O43 = "", "",if(Actuals!$A43=1,"",Actuals!O43 + Strokes!N43))</f>
        <v/>
      </c>
      <c r="O43" s="12" t="str">
        <f>if(Actuals!P43 = "", "",if(Actuals!$A43=1,"",Actuals!P43 + Strokes!O43))</f>
        <v/>
      </c>
      <c r="P43" s="12" t="str">
        <f>if(Actuals!Q43 = "", "",if(Actuals!$A43=1,"",Actuals!Q43 + Strokes!P43))</f>
        <v/>
      </c>
      <c r="Q43" s="12" t="str">
        <f>if(Actuals!R43 = "", "",if(Actuals!$A43=1,"",Actuals!R43 + Strokes!Q43))</f>
        <v/>
      </c>
      <c r="R43" s="12" t="str">
        <f>if(#REF! = "", "",if(Actuals!$A43=1,"",#REF! + #REF!))</f>
        <v>#REF!</v>
      </c>
      <c r="S43" s="12" t="str">
        <f>if(#REF! = "", "",if(Actuals!$A43=1,"",#REF! + #REF!))</f>
        <v>#REF!</v>
      </c>
      <c r="T43" s="80"/>
      <c r="U43" s="80"/>
      <c r="V43" s="80"/>
      <c r="W43" s="80"/>
      <c r="X43" s="80"/>
      <c r="Y43" s="80"/>
      <c r="Z43" s="80"/>
    </row>
    <row r="44">
      <c r="A44" s="16" t="str">
        <f>Actuals!B44</f>
        <v>Walt S</v>
      </c>
      <c r="B44" s="12">
        <f>if(Actuals!C44 = "", "",if(Actuals!$A44=1,"",Actuals!C44 + Strokes!B44))</f>
        <v>34.7</v>
      </c>
      <c r="C44" s="12" t="str">
        <f>if(Actuals!D44 = "", "",if(Actuals!$A44=1,"",Actuals!D44 + Strokes!C44))</f>
        <v/>
      </c>
      <c r="D44" s="12">
        <f>if(Actuals!E44 = "", "",if(Actuals!$A44=1,"",Actuals!E44 + Strokes!D44))</f>
        <v>32.7</v>
      </c>
      <c r="E44" s="12" t="str">
        <f>if(Actuals!F44 = "", "",if(Actuals!$A44=1,"",Actuals!F44 + Strokes!E44))</f>
        <v/>
      </c>
      <c r="F44" s="12" t="str">
        <f>if(Actuals!G44 = "", "",if(Actuals!$A44=1,"",Actuals!G44 + Strokes!F44))</f>
        <v/>
      </c>
      <c r="G44" s="12" t="str">
        <f>if(Actuals!H44 = "", "",if(Actuals!$A44=1,"",Actuals!H44 + Strokes!G44))</f>
        <v/>
      </c>
      <c r="H44" s="12" t="str">
        <f>if(Actuals!I44 = "", "",if(Actuals!$A44=1,"",Actuals!I44 + Strokes!H44))</f>
        <v/>
      </c>
      <c r="I44" s="12" t="str">
        <f>if(Actuals!J44 = "", "",if(Actuals!$A44=1,"",Actuals!J44 + Strokes!I44))</f>
        <v/>
      </c>
      <c r="J44" s="12" t="str">
        <f>if(Actuals!K44 = "", "",if(Actuals!$A44=1,"",Actuals!K44 + Strokes!J44))</f>
        <v/>
      </c>
      <c r="K44" s="12" t="str">
        <f>if(Actuals!L44 = "", "",if(Actuals!$A44=1,"",Actuals!L44 + Strokes!K44))</f>
        <v/>
      </c>
      <c r="L44" s="12" t="str">
        <f>if(Actuals!M44 = "", "",if(Actuals!$A44=1,"",Actuals!M44 + Strokes!L44))</f>
        <v/>
      </c>
      <c r="M44" s="12" t="str">
        <f>if(Actuals!N44 = "", "",if(Actuals!$A44=1,"",Actuals!N44 + Strokes!M44))</f>
        <v/>
      </c>
      <c r="N44" s="12" t="str">
        <f>if(Actuals!O44 = "", "",if(Actuals!$A44=1,"",Actuals!O44 + Strokes!N44))</f>
        <v/>
      </c>
      <c r="O44" s="12" t="str">
        <f>if(Actuals!P44 = "", "",if(Actuals!$A44=1,"",Actuals!P44 + Strokes!O44))</f>
        <v/>
      </c>
      <c r="P44" s="12" t="str">
        <f>if(Actuals!Q44 = "", "",if(Actuals!$A44=1,"",Actuals!Q44 + Strokes!P44))</f>
        <v/>
      </c>
      <c r="Q44" s="12" t="str">
        <f>if(Actuals!R44 = "", "",if(Actuals!$A44=1,"",Actuals!R44 + Strokes!Q44))</f>
        <v/>
      </c>
      <c r="R44" s="12" t="str">
        <f>if(#REF! = "", "",if(Actuals!$A44=1,"",#REF! + #REF!))</f>
        <v>#REF!</v>
      </c>
      <c r="S44" s="12" t="str">
        <f>if(#REF! = "", "",if(Actuals!$A44=1,"",#REF! + #REF!))</f>
        <v>#REF!</v>
      </c>
      <c r="T44" s="80"/>
      <c r="U44" s="80"/>
      <c r="V44" s="80"/>
      <c r="W44" s="80"/>
      <c r="X44" s="80"/>
      <c r="Y44" s="80"/>
      <c r="Z44" s="80"/>
    </row>
    <row r="45">
      <c r="A45" s="16" t="str">
        <f>Actuals!B45</f>
        <v>James D</v>
      </c>
      <c r="B45" s="12" t="str">
        <f>if(Actuals!C45 = "", "",if(Actuals!$A45=1,"",Actuals!C45 + Strokes!B45))</f>
        <v/>
      </c>
      <c r="C45" s="12" t="str">
        <f>if(Actuals!D45 = "", "",if(Actuals!$A45=1,"",Actuals!D45 + Strokes!C45))</f>
        <v/>
      </c>
      <c r="D45" s="12" t="str">
        <f>if(Actuals!E45 = "", "",if(Actuals!$A45=1,"",Actuals!E45 + Strokes!D45))</f>
        <v/>
      </c>
      <c r="E45" s="12" t="str">
        <f>if(Actuals!F45 = "", "",if(Actuals!$A45=1,"",Actuals!F45 + Strokes!E45))</f>
        <v/>
      </c>
      <c r="F45" s="12" t="str">
        <f>if(Actuals!G45 = "", "",if(Actuals!$A45=1,"",Actuals!G45 + Strokes!F45))</f>
        <v/>
      </c>
      <c r="G45" s="12" t="str">
        <f>if(Actuals!H45 = "", "",if(Actuals!$A45=1,"",Actuals!H45 + Strokes!G45))</f>
        <v/>
      </c>
      <c r="H45" s="12" t="str">
        <f>if(Actuals!I45 = "", "",if(Actuals!$A45=1,"",Actuals!I45 + Strokes!H45))</f>
        <v/>
      </c>
      <c r="I45" s="12" t="str">
        <f>if(Actuals!J45 = "", "",if(Actuals!$A45=1,"",Actuals!J45 + Strokes!I45))</f>
        <v/>
      </c>
      <c r="J45" s="12" t="str">
        <f>if(Actuals!K45 = "", "",if(Actuals!$A45=1,"",Actuals!K45 + Strokes!J45))</f>
        <v/>
      </c>
      <c r="K45" s="12" t="str">
        <f>if(Actuals!L45 = "", "",if(Actuals!$A45=1,"",Actuals!L45 + Strokes!K45))</f>
        <v/>
      </c>
      <c r="L45" s="12" t="str">
        <f>if(Actuals!M45 = "", "",if(Actuals!$A45=1,"",Actuals!M45 + Strokes!L45))</f>
        <v/>
      </c>
      <c r="M45" s="12" t="str">
        <f>if(Actuals!N45 = "", "",if(Actuals!$A45=1,"",Actuals!N45 + Strokes!M45))</f>
        <v/>
      </c>
      <c r="N45" s="12" t="str">
        <f>if(Actuals!O45 = "", "",if(Actuals!$A45=1,"",Actuals!O45 + Strokes!N45))</f>
        <v/>
      </c>
      <c r="O45" s="12" t="str">
        <f>if(Actuals!P45 = "", "",if(Actuals!$A45=1,"",Actuals!P45 + Strokes!O45))</f>
        <v/>
      </c>
      <c r="P45" s="12" t="str">
        <f>if(Actuals!Q45 = "", "",if(Actuals!$A45=1,"",Actuals!Q45 + Strokes!P45))</f>
        <v/>
      </c>
      <c r="Q45" s="12" t="str">
        <f>if(Actuals!R45 = "", "",if(Actuals!$A45=1,"",Actuals!R45 + Strokes!Q45))</f>
        <v/>
      </c>
      <c r="R45" s="12" t="str">
        <f>if(#REF! = "", "",if(Actuals!$A56=1,"",#REF! + #REF!))</f>
        <v>#REF!</v>
      </c>
      <c r="S45" s="12" t="str">
        <f>if(#REF! = "", "",if(Actuals!$A56=1,"",#REF! + #REF!))</f>
        <v>#REF!</v>
      </c>
      <c r="T45" s="80"/>
      <c r="U45" s="80"/>
      <c r="V45" s="80"/>
      <c r="W45" s="80"/>
      <c r="X45" s="80"/>
      <c r="Y45" s="80"/>
      <c r="Z45" s="80"/>
    </row>
    <row r="46">
      <c r="A46" s="16" t="str">
        <f>Actuals!B46</f>
        <v>Josh Norris</v>
      </c>
      <c r="B46" s="12" t="str">
        <f>if(Actuals!C46 = "", "",if(Actuals!$A46=1,"",Actuals!C46 + Strokes!B46))</f>
        <v/>
      </c>
      <c r="C46" s="12" t="str">
        <f>if(Actuals!D46 = "", "",if(Actuals!$A46=1,"",Actuals!D46 + Strokes!C46))</f>
        <v/>
      </c>
      <c r="D46" s="12" t="str">
        <f>if(Actuals!E46 = "", "",if(Actuals!$A46=1,"",Actuals!E46 + Strokes!D46))</f>
        <v/>
      </c>
      <c r="E46" s="12" t="str">
        <f>if(Actuals!F46 = "", "",if(Actuals!$A46=1,"",Actuals!F46 + Strokes!E46))</f>
        <v/>
      </c>
      <c r="F46" s="12" t="str">
        <f>if(Actuals!G46 = "", "",if(Actuals!$A46=1,"",Actuals!G46 + Strokes!F46))</f>
        <v/>
      </c>
      <c r="G46" s="12" t="str">
        <f>if(Actuals!H46 = "", "",if(Actuals!$A46=1,"",Actuals!H46 + Strokes!G46))</f>
        <v/>
      </c>
      <c r="H46" s="12" t="str">
        <f>if(Actuals!I46 = "", "",if(Actuals!$A46=1,"",Actuals!I46 + Strokes!H46))</f>
        <v/>
      </c>
      <c r="I46" s="12" t="str">
        <f>if(Actuals!J46 = "", "",if(Actuals!$A46=1,"",Actuals!J46 + Strokes!I46))</f>
        <v/>
      </c>
      <c r="J46" s="12" t="str">
        <f>if(Actuals!K46 = "", "",if(Actuals!$A46=1,"",Actuals!K46 + Strokes!J46))</f>
        <v/>
      </c>
      <c r="K46" s="12" t="str">
        <f>if(Actuals!L46 = "", "",if(Actuals!$A46=1,"",Actuals!L46 + Strokes!K46))</f>
        <v/>
      </c>
      <c r="L46" s="12" t="str">
        <f>if(Actuals!M46 = "", "",if(Actuals!$A46=1,"",Actuals!M46 + Strokes!L46))</f>
        <v/>
      </c>
      <c r="M46" s="12" t="str">
        <f>if(Actuals!N46 = "", "",if(Actuals!$A46=1,"",Actuals!N46 + Strokes!M46))</f>
        <v/>
      </c>
      <c r="N46" s="12" t="str">
        <f>if(Actuals!O46 = "", "",if(Actuals!$A46=1,"",Actuals!O46 + Strokes!N46))</f>
        <v/>
      </c>
      <c r="O46" s="12" t="str">
        <f>if(Actuals!P46 = "", "",if(Actuals!$A46=1,"",Actuals!P46 + Strokes!O46))</f>
        <v/>
      </c>
      <c r="P46" s="12" t="str">
        <f>if(Actuals!Q46 = "", "",if(Actuals!$A46=1,"",Actuals!Q46 + Strokes!P46))</f>
        <v/>
      </c>
      <c r="Q46" s="12" t="str">
        <f>if(Actuals!R46 = "", "",if(Actuals!$A46=1,"",Actuals!R46 + Strokes!Q46))</f>
        <v/>
      </c>
      <c r="R46" s="12" t="str">
        <f>if(#REF! = "", "",if(Actuals!$A57=1,"",#REF! + #REF!))</f>
        <v>#REF!</v>
      </c>
      <c r="S46" s="12" t="str">
        <f>if(#REF! = "", "",if(Actuals!$A57=1,"",#REF! + #REF!))</f>
        <v>#REF!</v>
      </c>
      <c r="T46" s="80"/>
      <c r="U46" s="80"/>
      <c r="V46" s="80"/>
      <c r="W46" s="80"/>
      <c r="X46" s="80"/>
      <c r="Y46" s="80"/>
      <c r="Z46" s="80"/>
    </row>
    <row r="47">
      <c r="A47" s="16" t="str">
        <f>Actuals!B47</f>
        <v>Simon Sr</v>
      </c>
      <c r="B47" s="12" t="str">
        <f>if(Actuals!C47 = "", "",if(Actuals!$A47=1,"",Actuals!C47 + Strokes!B47))</f>
        <v/>
      </c>
      <c r="C47" s="12" t="str">
        <f>if(Actuals!D47 = "", "",if(Actuals!$A47=1,"",Actuals!D47 + Strokes!C47))</f>
        <v/>
      </c>
      <c r="D47" s="12" t="str">
        <f>if(Actuals!E47 = "", "",if(Actuals!$A47=1,"",Actuals!E47 + Strokes!D47))</f>
        <v/>
      </c>
      <c r="E47" s="12" t="str">
        <f>if(Actuals!F47 = "", "",if(Actuals!$A47=1,"",Actuals!F47 + Strokes!E47))</f>
        <v/>
      </c>
      <c r="F47" s="12" t="str">
        <f>if(Actuals!G47 = "", "",if(Actuals!$A47=1,"",Actuals!G47 + Strokes!F47))</f>
        <v/>
      </c>
      <c r="G47" s="12" t="str">
        <f>if(Actuals!H47 = "", "",if(Actuals!$A47=1,"",Actuals!H47 + Strokes!G47))</f>
        <v/>
      </c>
      <c r="H47" s="12" t="str">
        <f>if(Actuals!I47 = "", "",if(Actuals!$A47=1,"",Actuals!I47 + Strokes!H47))</f>
        <v/>
      </c>
      <c r="I47" s="12" t="str">
        <f>if(Actuals!J47 = "", "",if(Actuals!$A47=1,"",Actuals!J47 + Strokes!I47))</f>
        <v/>
      </c>
      <c r="J47" s="12" t="str">
        <f>if(Actuals!K47 = "", "",if(Actuals!$A47=1,"",Actuals!K47 + Strokes!J47))</f>
        <v/>
      </c>
      <c r="K47" s="12" t="str">
        <f>if(Actuals!L47 = "", "",if(Actuals!$A47=1,"",Actuals!L47 + Strokes!K47))</f>
        <v/>
      </c>
      <c r="L47" s="12" t="str">
        <f>if(Actuals!M47 = "", "",if(Actuals!$A47=1,"",Actuals!M47 + Strokes!L47))</f>
        <v/>
      </c>
      <c r="M47" s="12" t="str">
        <f>if(Actuals!N47 = "", "",if(Actuals!$A47=1,"",Actuals!N47 + Strokes!M47))</f>
        <v/>
      </c>
      <c r="N47" s="12" t="str">
        <f>if(Actuals!O47 = "", "",if(Actuals!$A47=1,"",Actuals!O47 + Strokes!N47))</f>
        <v/>
      </c>
      <c r="O47" s="12" t="str">
        <f>if(Actuals!P47 = "", "",if(Actuals!$A47=1,"",Actuals!P47 + Strokes!O47))</f>
        <v/>
      </c>
      <c r="P47" s="12" t="str">
        <f>if(Actuals!Q47 = "", "",if(Actuals!$A47=1,"",Actuals!Q47 + Strokes!P47))</f>
        <v/>
      </c>
      <c r="Q47" s="12" t="str">
        <f>if(Actuals!R47 = "", "",if(Actuals!$A47=1,"",Actuals!R47 + Strokes!Q47))</f>
        <v/>
      </c>
      <c r="R47" s="12" t="str">
        <f>if(#REF! = "", "",if(Actuals!$A58=1,"",#REF! + #REF!))</f>
        <v>#REF!</v>
      </c>
      <c r="S47" s="12" t="str">
        <f>if(#REF! = "", "",if(Actuals!$A58=1,"",#REF! + #REF!))</f>
        <v>#REF!</v>
      </c>
      <c r="T47" s="80"/>
      <c r="U47" s="80"/>
      <c r="V47" s="80"/>
      <c r="W47" s="80"/>
      <c r="X47" s="80"/>
      <c r="Y47" s="80"/>
      <c r="Z47" s="80"/>
    </row>
    <row r="48">
      <c r="A48" s="16" t="str">
        <f>Actuals!B48</f>
        <v>Francisco</v>
      </c>
      <c r="B48" s="12">
        <f>if(Actuals!C48 = "", "",if(Actuals!$A48=1,"",Actuals!C48 + Strokes!B48))</f>
        <v>37.4</v>
      </c>
      <c r="C48" s="12">
        <f>if(Actuals!D48 = "", "",if(Actuals!$A48=1,"",Actuals!D48 + Strokes!C48))</f>
        <v>36.1</v>
      </c>
      <c r="D48" s="12" t="str">
        <f>if(Actuals!E48 = "", "",if(Actuals!$A48=1,"",Actuals!E48 + Strokes!D48))</f>
        <v/>
      </c>
      <c r="E48" s="12" t="str">
        <f>if(Actuals!F48 = "", "",if(Actuals!$A48=1,"",Actuals!F48 + Strokes!E48))</f>
        <v/>
      </c>
      <c r="F48" s="12" t="str">
        <f>if(Actuals!G48 = "", "",if(Actuals!$A48=1,"",Actuals!G48 + Strokes!F48))</f>
        <v/>
      </c>
      <c r="G48" s="12" t="str">
        <f>if(Actuals!H48 = "", "",if(Actuals!$A48=1,"",Actuals!H48 + Strokes!G48))</f>
        <v/>
      </c>
      <c r="H48" s="12" t="str">
        <f>if(Actuals!I48 = "", "",if(Actuals!$A48=1,"",Actuals!I48 + Strokes!H48))</f>
        <v/>
      </c>
      <c r="I48" s="12" t="str">
        <f>if(Actuals!J48 = "", "",if(Actuals!$A48=1,"",Actuals!J48 + Strokes!I48))</f>
        <v/>
      </c>
      <c r="J48" s="12" t="str">
        <f>if(Actuals!K48 = "", "",if(Actuals!$A48=1,"",Actuals!K48 + Strokes!J48))</f>
        <v/>
      </c>
      <c r="K48" s="12" t="str">
        <f>if(Actuals!L48 = "", "",if(Actuals!$A48=1,"",Actuals!L48 + Strokes!K48))</f>
        <v/>
      </c>
      <c r="L48" s="12" t="str">
        <f>if(Actuals!M48 = "", "",if(Actuals!$A48=1,"",Actuals!M48 + Strokes!L48))</f>
        <v/>
      </c>
      <c r="M48" s="12" t="str">
        <f>if(Actuals!N48 = "", "",if(Actuals!$A48=1,"",Actuals!N48 + Strokes!M48))</f>
        <v/>
      </c>
      <c r="N48" s="12" t="str">
        <f>if(Actuals!O48 = "", "",if(Actuals!$A48=1,"",Actuals!O48 + Strokes!N48))</f>
        <v/>
      </c>
      <c r="O48" s="12" t="str">
        <f>if(Actuals!P48 = "", "",if(Actuals!$A48=1,"",Actuals!P48 + Strokes!O48))</f>
        <v/>
      </c>
      <c r="P48" s="12" t="str">
        <f>if(Actuals!Q48 = "", "",if(Actuals!$A48=1,"",Actuals!Q48 + Strokes!P48))</f>
        <v/>
      </c>
      <c r="Q48" s="12" t="str">
        <f>if(Actuals!R48 = "", "",if(Actuals!$A48=1,"",Actuals!R48 + Strokes!Q48))</f>
        <v/>
      </c>
      <c r="R48" s="12" t="str">
        <f>if(#REF! = "", "",if(Actuals!$A59=1,"",#REF! + #REF!))</f>
        <v>#REF!</v>
      </c>
      <c r="S48" s="12" t="str">
        <f>if(#REF! = "", "",if(Actuals!$A59=1,"",#REF! + #REF!))</f>
        <v>#REF!</v>
      </c>
      <c r="T48" s="80"/>
      <c r="U48" s="80"/>
      <c r="V48" s="80"/>
      <c r="W48" s="80"/>
      <c r="X48" s="80"/>
      <c r="Y48" s="80"/>
      <c r="Z48" s="80"/>
    </row>
    <row r="49">
      <c r="A49" s="16" t="str">
        <f>Actuals!B49</f>
        <v>Cam King</v>
      </c>
      <c r="B49" s="12">
        <f>if(Actuals!C49 = "", "",if(Actuals!$A49=1,"",Actuals!C49 + Strokes!B49))</f>
        <v>33.2</v>
      </c>
      <c r="C49" s="12">
        <f>if(Actuals!D49 = "", "",if(Actuals!$A49=1,"",Actuals!D49 + Strokes!C49))</f>
        <v>37.5</v>
      </c>
      <c r="D49" s="12">
        <f>if(Actuals!E49 = "", "",if(Actuals!$A49=1,"",Actuals!E49 + Strokes!D49))</f>
        <v>36.8</v>
      </c>
      <c r="E49" s="12" t="str">
        <f>if(Actuals!F49 = "", "",if(Actuals!$A49=1,"",Actuals!F49 + Strokes!E49))</f>
        <v/>
      </c>
      <c r="F49" s="12" t="str">
        <f>if(Actuals!G49 = "", "",if(Actuals!$A49=1,"",Actuals!G49 + Strokes!F49))</f>
        <v/>
      </c>
      <c r="G49" s="12" t="str">
        <f>if(Actuals!H49 = "", "",if(Actuals!$A49=1,"",Actuals!H49 + Strokes!G49))</f>
        <v/>
      </c>
      <c r="H49" s="12" t="str">
        <f>if(Actuals!I49 = "", "",if(Actuals!$A49=1,"",Actuals!I49 + Strokes!H49))</f>
        <v/>
      </c>
      <c r="I49" s="12" t="str">
        <f>if(Actuals!J49 = "", "",if(Actuals!$A49=1,"",Actuals!J49 + Strokes!I49))</f>
        <v/>
      </c>
      <c r="J49" s="12" t="str">
        <f>if(Actuals!K49 = "", "",if(Actuals!$A49=1,"",Actuals!K49 + Strokes!J49))</f>
        <v/>
      </c>
      <c r="K49" s="12" t="str">
        <f>if(Actuals!L49 = "", "",if(Actuals!$A49=1,"",Actuals!L49 + Strokes!K49))</f>
        <v/>
      </c>
      <c r="L49" s="12" t="str">
        <f>if(Actuals!M49 = "", "",if(Actuals!$A49=1,"",Actuals!M49 + Strokes!L49))</f>
        <v/>
      </c>
      <c r="M49" s="12" t="str">
        <f>if(Actuals!N49 = "", "",if(Actuals!$A49=1,"",Actuals!N49 + Strokes!M49))</f>
        <v/>
      </c>
      <c r="N49" s="12" t="str">
        <f>if(Actuals!O49 = "", "",if(Actuals!$A49=1,"",Actuals!O49 + Strokes!N49))</f>
        <v/>
      </c>
      <c r="O49" s="12" t="str">
        <f>if(Actuals!P49 = "", "",if(Actuals!$A49=1,"",Actuals!P49 + Strokes!O49))</f>
        <v/>
      </c>
      <c r="P49" s="12" t="str">
        <f>if(Actuals!Q49 = "", "",if(Actuals!$A49=1,"",Actuals!Q49 + Strokes!P49))</f>
        <v/>
      </c>
      <c r="Q49" s="12" t="str">
        <f>if(Actuals!R49 = "", "",if(Actuals!$A49=1,"",Actuals!R49 + Strokes!Q49))</f>
        <v/>
      </c>
      <c r="R49" s="12" t="str">
        <f>if(#REF! = "", "",if(Actuals!$A60=1,"",#REF! + #REF!))</f>
        <v>#REF!</v>
      </c>
      <c r="S49" s="12" t="str">
        <f>if(#REF! = "", "",if(Actuals!$A60=1,"",#REF! + #REF!))</f>
        <v>#REF!</v>
      </c>
      <c r="T49" s="80"/>
      <c r="U49" s="80"/>
      <c r="V49" s="80"/>
      <c r="W49" s="80"/>
      <c r="X49" s="80"/>
      <c r="Y49" s="80"/>
      <c r="Z49" s="80"/>
    </row>
    <row r="50">
      <c r="A50" s="16" t="str">
        <f>Actuals!B50</f>
        <v>Dan K</v>
      </c>
      <c r="B50" s="12">
        <f>if(Actuals!C50 = "", "",if(Actuals!$A50=1,"",Actuals!C50 + Strokes!B50))</f>
        <v>37.4</v>
      </c>
      <c r="C50" s="12" t="str">
        <f>if(Actuals!D50 = "", "",if(Actuals!$A50=1,"",Actuals!D50 + Strokes!C50))</f>
        <v/>
      </c>
      <c r="D50" s="12">
        <f>if(Actuals!E50 = "", "",if(Actuals!$A50=1,"",Actuals!E50 + Strokes!D50))</f>
        <v>36.4</v>
      </c>
      <c r="E50" s="12" t="str">
        <f>if(Actuals!F50 = "", "",if(Actuals!$A50=1,"",Actuals!F50 + Strokes!E50))</f>
        <v/>
      </c>
      <c r="F50" s="12" t="str">
        <f>if(Actuals!G50 = "", "",if(Actuals!$A50=1,"",Actuals!G50 + Strokes!F50))</f>
        <v/>
      </c>
      <c r="G50" s="12" t="str">
        <f>if(Actuals!H50 = "", "",if(Actuals!$A50=1,"",Actuals!H50 + Strokes!G50))</f>
        <v/>
      </c>
      <c r="H50" s="12" t="str">
        <f>if(Actuals!I50 = "", "",if(Actuals!$A50=1,"",Actuals!I50 + Strokes!H50))</f>
        <v/>
      </c>
      <c r="I50" s="12" t="str">
        <f>if(Actuals!J50 = "", "",if(Actuals!$A50=1,"",Actuals!J50 + Strokes!I50))</f>
        <v/>
      </c>
      <c r="J50" s="12" t="str">
        <f>if(Actuals!K50 = "", "",if(Actuals!$A50=1,"",Actuals!K50 + Strokes!J50))</f>
        <v/>
      </c>
      <c r="K50" s="12" t="str">
        <f>if(Actuals!L50 = "", "",if(Actuals!$A50=1,"",Actuals!L50 + Strokes!K50))</f>
        <v/>
      </c>
      <c r="L50" s="12" t="str">
        <f>if(Actuals!M50 = "", "",if(Actuals!$A50=1,"",Actuals!M50 + Strokes!L50))</f>
        <v/>
      </c>
      <c r="M50" s="12" t="str">
        <f>if(Actuals!N50 = "", "",if(Actuals!$A50=1,"",Actuals!N50 + Strokes!M50))</f>
        <v/>
      </c>
      <c r="N50" s="12" t="str">
        <f>if(Actuals!O50 = "", "",if(Actuals!$A50=1,"",Actuals!O50 + Strokes!N50))</f>
        <v/>
      </c>
      <c r="O50" s="12" t="str">
        <f>if(Actuals!P50 = "", "",if(Actuals!$A50=1,"",Actuals!P50 + Strokes!O50))</f>
        <v/>
      </c>
      <c r="P50" s="12" t="str">
        <f>if(Actuals!Q50 = "", "",if(Actuals!$A50=1,"",Actuals!Q50 + Strokes!P50))</f>
        <v/>
      </c>
      <c r="Q50" s="12" t="str">
        <f>if(Actuals!R50 = "", "",if(Actuals!$A50=1,"",Actuals!R50 + Strokes!Q50))</f>
        <v/>
      </c>
      <c r="R50" s="12" t="str">
        <f>if(#REF! = "", "",if(Actuals!$A61=1,"",#REF! + #REF!))</f>
        <v>#REF!</v>
      </c>
      <c r="S50" s="12" t="str">
        <f>if(#REF! = "", "",if(Actuals!$A61=1,"",#REF! + #REF!))</f>
        <v>#REF!</v>
      </c>
      <c r="T50" s="80"/>
      <c r="U50" s="80"/>
      <c r="V50" s="80"/>
      <c r="W50" s="80"/>
      <c r="X50" s="80"/>
      <c r="Y50" s="80"/>
      <c r="Z50" s="80"/>
    </row>
    <row r="51">
      <c r="A51" s="16" t="str">
        <f>Actuals!B51</f>
        <v>Davis</v>
      </c>
      <c r="B51" s="12" t="str">
        <f>if(Actuals!C51 = "", "",if(Actuals!$A51=1,"",Actuals!C51 + Strokes!B51))</f>
        <v/>
      </c>
      <c r="C51" s="12" t="str">
        <f>if(Actuals!D51 = "", "",if(Actuals!$A51=1,"",Actuals!D51 + Strokes!C51))</f>
        <v/>
      </c>
      <c r="D51" s="12" t="str">
        <f>if(Actuals!E51 = "", "",if(Actuals!$A51=1,"",Actuals!E51 + Strokes!D51))</f>
        <v/>
      </c>
      <c r="E51" s="12" t="str">
        <f>if(Actuals!F51 = "", "",if(Actuals!$A51=1,"",Actuals!F51 + Strokes!E51))</f>
        <v/>
      </c>
      <c r="F51" s="12" t="str">
        <f>if(Actuals!G51 = "", "",if(Actuals!$A51=1,"",Actuals!G51 + Strokes!F51))</f>
        <v/>
      </c>
      <c r="G51" s="12" t="str">
        <f>if(Actuals!H51 = "", "",if(Actuals!$A51=1,"",Actuals!H51 + Strokes!G51))</f>
        <v/>
      </c>
      <c r="H51" s="12" t="str">
        <f>if(Actuals!I51 = "", "",if(Actuals!$A51=1,"",Actuals!I51 + Strokes!H51))</f>
        <v/>
      </c>
      <c r="I51" s="12" t="str">
        <f>if(Actuals!J51 = "", "",if(Actuals!$A51=1,"",Actuals!J51 + Strokes!I51))</f>
        <v/>
      </c>
      <c r="J51" s="12" t="str">
        <f>if(Actuals!K51 = "", "",if(Actuals!$A51=1,"",Actuals!K51 + Strokes!J51))</f>
        <v/>
      </c>
      <c r="K51" s="12" t="str">
        <f>if(Actuals!L51 = "", "",if(Actuals!$A51=1,"",Actuals!L51 + Strokes!K51))</f>
        <v/>
      </c>
      <c r="L51" s="12" t="str">
        <f>if(Actuals!M51 = "", "",if(Actuals!$A51=1,"",Actuals!M51 + Strokes!L51))</f>
        <v/>
      </c>
      <c r="M51" s="12" t="str">
        <f>if(Actuals!N51 = "", "",if(Actuals!$A51=1,"",Actuals!N51 + Strokes!M51))</f>
        <v/>
      </c>
      <c r="N51" s="12" t="str">
        <f>if(Actuals!O51 = "", "",if(Actuals!$A51=1,"",Actuals!O51 + Strokes!N51))</f>
        <v/>
      </c>
      <c r="O51" s="12" t="str">
        <f>if(Actuals!P51 = "", "",if(Actuals!$A51=1,"",Actuals!P51 + Strokes!O51))</f>
        <v/>
      </c>
      <c r="P51" s="12" t="str">
        <f>if(Actuals!Q51 = "", "",if(Actuals!$A51=1,"",Actuals!Q51 + Strokes!P51))</f>
        <v/>
      </c>
      <c r="Q51" s="12" t="str">
        <f>if(Actuals!R51 = "", "",if(Actuals!$A51=1,"",Actuals!R51 + Strokes!Q51))</f>
        <v/>
      </c>
      <c r="R51" s="12" t="str">
        <f>if(#REF! = "", "",if(Actuals!$A62=1,"",#REF! + #REF!))</f>
        <v>#REF!</v>
      </c>
      <c r="S51" s="12" t="str">
        <f>if(#REF! = "", "",if(Actuals!$A62=1,"",#REF! + #REF!))</f>
        <v>#REF!</v>
      </c>
      <c r="T51" s="80"/>
      <c r="U51" s="80"/>
      <c r="V51" s="80"/>
      <c r="W51" s="80"/>
      <c r="X51" s="80"/>
      <c r="Y51" s="80"/>
      <c r="Z51" s="80"/>
    </row>
    <row r="52">
      <c r="A52" s="16" t="str">
        <f>Actuals!B52</f>
        <v>Amanda C</v>
      </c>
      <c r="B52" s="12" t="str">
        <f>if(Actuals!C52 = "", "",if(Actuals!$A52=1,"",Actuals!C52 + Strokes!B52))</f>
        <v/>
      </c>
      <c r="C52" s="12" t="str">
        <f>if(Actuals!D52 = "", "",if(Actuals!$A52=1,"",Actuals!D52 + Strokes!C52))</f>
        <v/>
      </c>
      <c r="D52" s="12" t="str">
        <f>if(Actuals!E52 = "", "",if(Actuals!$A52=1,"",Actuals!E52 + Strokes!D52))</f>
        <v/>
      </c>
      <c r="E52" s="12" t="str">
        <f>if(Actuals!F52 = "", "",if(Actuals!$A52=1,"",Actuals!F52 + Strokes!E52))</f>
        <v/>
      </c>
      <c r="F52" s="12" t="str">
        <f>if(Actuals!G52 = "", "",if(Actuals!$A52=1,"",Actuals!G52 + Strokes!F52))</f>
        <v/>
      </c>
      <c r="G52" s="12" t="str">
        <f>if(Actuals!H52 = "", "",if(Actuals!$A52=1,"",Actuals!H52 + Strokes!G52))</f>
        <v/>
      </c>
      <c r="H52" s="12" t="str">
        <f>if(Actuals!I52 = "", "",if(Actuals!$A52=1,"",Actuals!I52 + Strokes!H52))</f>
        <v/>
      </c>
      <c r="I52" s="12" t="str">
        <f>if(Actuals!J52 = "", "",if(Actuals!$A52=1,"",Actuals!J52 + Strokes!I52))</f>
        <v/>
      </c>
      <c r="J52" s="12" t="str">
        <f>if(Actuals!K52 = "", "",if(Actuals!$A52=1,"",Actuals!K52 + Strokes!J52))</f>
        <v/>
      </c>
      <c r="K52" s="12" t="str">
        <f>if(Actuals!L52 = "", "",if(Actuals!$A52=1,"",Actuals!L52 + Strokes!K52))</f>
        <v/>
      </c>
      <c r="L52" s="12" t="str">
        <f>if(Actuals!M52 = "", "",if(Actuals!$A52=1,"",Actuals!M52 + Strokes!L52))</f>
        <v/>
      </c>
      <c r="M52" s="12" t="str">
        <f>if(Actuals!N52 = "", "",if(Actuals!$A52=1,"",Actuals!N52 + Strokes!M52))</f>
        <v/>
      </c>
      <c r="N52" s="12" t="str">
        <f>if(Actuals!O52 = "", "",if(Actuals!$A52=1,"",Actuals!O52 + Strokes!N52))</f>
        <v/>
      </c>
      <c r="O52" s="12" t="str">
        <f>if(Actuals!P52 = "", "",if(Actuals!$A52=1,"",Actuals!P52 + Strokes!O52))</f>
        <v/>
      </c>
      <c r="P52" s="12" t="str">
        <f>if(Actuals!Q52 = "", "",if(Actuals!$A52=1,"",Actuals!Q52 + Strokes!P52))</f>
        <v/>
      </c>
      <c r="Q52" s="12" t="str">
        <f>if(Actuals!R52 = "", "",if(Actuals!$A52=1,"",Actuals!R52 + Strokes!Q52))</f>
        <v/>
      </c>
      <c r="R52" s="12" t="str">
        <f>if(#REF! = "", "",if(Actuals!$A63=1,"",#REF! + #REF!))</f>
        <v>#REF!</v>
      </c>
      <c r="S52" s="12" t="str">
        <f>if(#REF! = "", "",if(Actuals!$A63=1,"",#REF! + #REF!))</f>
        <v>#REF!</v>
      </c>
      <c r="T52" s="80"/>
      <c r="U52" s="80"/>
      <c r="V52" s="80"/>
      <c r="W52" s="80"/>
      <c r="X52" s="80"/>
      <c r="Y52" s="80"/>
      <c r="Z52" s="80"/>
    </row>
    <row r="53">
      <c r="A53" s="16" t="str">
        <f>Actuals!B53</f>
        <v>blank9</v>
      </c>
      <c r="B53" s="12" t="str">
        <f>if(Actuals!C53 = "", "",if(Actuals!$A53=1,"",Actuals!C53 + Strokes!B53))</f>
        <v/>
      </c>
      <c r="C53" s="12" t="str">
        <f>if(Actuals!D53 = "", "",if(Actuals!$A53=1,"",Actuals!D53 + Strokes!C53))</f>
        <v/>
      </c>
      <c r="D53" s="12" t="str">
        <f>if(Actuals!E53 = "", "",if(Actuals!$A53=1,"",Actuals!E53 + Strokes!D53))</f>
        <v/>
      </c>
      <c r="E53" s="12" t="str">
        <f>if(Actuals!F53 = "", "",if(Actuals!$A53=1,"",Actuals!F53 + Strokes!E53))</f>
        <v/>
      </c>
      <c r="F53" s="12" t="str">
        <f>if(Actuals!G53 = "", "",if(Actuals!$A53=1,"",Actuals!G53 + Strokes!F53))</f>
        <v/>
      </c>
      <c r="G53" s="12" t="str">
        <f>if(Actuals!H53 = "", "",if(Actuals!$A53=1,"",Actuals!H53 + Strokes!G53))</f>
        <v/>
      </c>
      <c r="H53" s="12" t="str">
        <f>if(Actuals!I53 = "", "",if(Actuals!$A53=1,"",Actuals!I53 + Strokes!H53))</f>
        <v/>
      </c>
      <c r="I53" s="12" t="str">
        <f>if(Actuals!J53 = "", "",if(Actuals!$A53=1,"",Actuals!J53 + Strokes!I53))</f>
        <v/>
      </c>
      <c r="J53" s="12" t="str">
        <f>if(Actuals!K53 = "", "",if(Actuals!$A53=1,"",Actuals!K53 + Strokes!J53))</f>
        <v/>
      </c>
      <c r="K53" s="12" t="str">
        <f>if(Actuals!L53 = "", "",if(Actuals!$A53=1,"",Actuals!L53 + Strokes!K53))</f>
        <v/>
      </c>
      <c r="L53" s="12" t="str">
        <f>if(Actuals!M53 = "", "",if(Actuals!$A53=1,"",Actuals!M53 + Strokes!L53))</f>
        <v/>
      </c>
      <c r="M53" s="12" t="str">
        <f>if(Actuals!N53 = "", "",if(Actuals!$A53=1,"",Actuals!N53 + Strokes!M53))</f>
        <v/>
      </c>
      <c r="N53" s="12" t="str">
        <f>if(Actuals!O53 = "", "",if(Actuals!$A53=1,"",Actuals!O53 + Strokes!N53))</f>
        <v/>
      </c>
      <c r="O53" s="12" t="str">
        <f>if(Actuals!P53 = "", "",if(Actuals!$A53=1,"",Actuals!P53 + Strokes!O53))</f>
        <v/>
      </c>
      <c r="P53" s="12" t="str">
        <f>if(Actuals!Q53 = "", "",if(Actuals!$A53=1,"",Actuals!Q53 + Strokes!P53))</f>
        <v/>
      </c>
      <c r="Q53" s="12" t="str">
        <f>if(Actuals!R53 = "", "",if(Actuals!$A53=1,"",Actuals!R53 + Strokes!Q53))</f>
        <v/>
      </c>
      <c r="R53" s="12" t="str">
        <f>if(#REF! = "", "",if(Actuals!$A64=1,"",#REF! + #REF!))</f>
        <v>#REF!</v>
      </c>
      <c r="S53" s="12" t="str">
        <f>if(#REF! = "", "",if(Actuals!$A64=1,"",#REF! + #REF!))</f>
        <v>#REF!</v>
      </c>
      <c r="T53" s="80"/>
      <c r="U53" s="80"/>
      <c r="V53" s="80"/>
      <c r="W53" s="80"/>
      <c r="X53" s="80"/>
      <c r="Y53" s="80"/>
      <c r="Z53" s="80"/>
    </row>
    <row r="54">
      <c r="A54" s="16" t="str">
        <f>Actuals!B54</f>
        <v>blank10</v>
      </c>
      <c r="B54" s="12" t="str">
        <f>if(Actuals!C54 = "", "",if(Actuals!$A54=1,"",Actuals!C54 + Strokes!B54))</f>
        <v/>
      </c>
      <c r="C54" s="12" t="str">
        <f>if(Actuals!D54 = "", "",if(Actuals!$A54=1,"",Actuals!D54 + Strokes!C54))</f>
        <v/>
      </c>
      <c r="D54" s="12" t="str">
        <f>if(Actuals!E54 = "", "",if(Actuals!$A54=1,"",Actuals!E54 + Strokes!D54))</f>
        <v/>
      </c>
      <c r="E54" s="12" t="str">
        <f>if(Actuals!F54 = "", "",if(Actuals!$A54=1,"",Actuals!F54 + Strokes!E54))</f>
        <v/>
      </c>
      <c r="F54" s="12" t="str">
        <f>if(Actuals!G54 = "", "",if(Actuals!$A54=1,"",Actuals!G54 + Strokes!F54))</f>
        <v/>
      </c>
      <c r="G54" s="12" t="str">
        <f>if(Actuals!H54 = "", "",if(Actuals!$A54=1,"",Actuals!H54 + Strokes!G54))</f>
        <v/>
      </c>
      <c r="H54" s="12" t="str">
        <f>if(Actuals!I54 = "", "",if(Actuals!$A54=1,"",Actuals!I54 + Strokes!H54))</f>
        <v/>
      </c>
      <c r="I54" s="12" t="str">
        <f>if(Actuals!J54 = "", "",if(Actuals!$A54=1,"",Actuals!J54 + Strokes!I54))</f>
        <v/>
      </c>
      <c r="J54" s="12" t="str">
        <f>if(Actuals!K54 = "", "",if(Actuals!$A54=1,"",Actuals!K54 + Strokes!J54))</f>
        <v/>
      </c>
      <c r="K54" s="12" t="str">
        <f>if(Actuals!L54 = "", "",if(Actuals!$A54=1,"",Actuals!L54 + Strokes!K54))</f>
        <v/>
      </c>
      <c r="L54" s="12" t="str">
        <f>if(Actuals!M54 = "", "",if(Actuals!$A54=1,"",Actuals!M54 + Strokes!L54))</f>
        <v/>
      </c>
      <c r="M54" s="12" t="str">
        <f>if(Actuals!N54 = "", "",if(Actuals!$A54=1,"",Actuals!N54 + Strokes!M54))</f>
        <v/>
      </c>
      <c r="N54" s="12" t="str">
        <f>if(Actuals!O54 = "", "",if(Actuals!$A54=1,"",Actuals!O54 + Strokes!N54))</f>
        <v/>
      </c>
      <c r="O54" s="12" t="str">
        <f>if(Actuals!P54 = "", "",if(Actuals!$A54=1,"",Actuals!P54 + Strokes!O54))</f>
        <v/>
      </c>
      <c r="P54" s="12" t="str">
        <f>if(Actuals!Q54 = "", "",if(Actuals!$A54=1,"",Actuals!Q54 + Strokes!P54))</f>
        <v/>
      </c>
      <c r="Q54" s="12" t="str">
        <f>if(Actuals!R54 = "", "",if(Actuals!$A54=1,"",Actuals!R54 + Strokes!Q54))</f>
        <v/>
      </c>
      <c r="R54" s="12" t="str">
        <f>if(#REF! = "", "",if(Actuals!$A65=1,"",#REF! + #REF!))</f>
        <v>#REF!</v>
      </c>
      <c r="S54" s="12" t="str">
        <f>if(#REF! = "", "",if(Actuals!$A65=1,"",#REF! + #REF!))</f>
        <v>#REF!</v>
      </c>
      <c r="T54" s="80"/>
      <c r="U54" s="80"/>
      <c r="V54" s="80"/>
      <c r="W54" s="80"/>
      <c r="X54" s="80"/>
      <c r="Y54" s="80"/>
      <c r="Z54" s="80"/>
    </row>
    <row r="55">
      <c r="A55" s="16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80"/>
      <c r="U55" s="80"/>
      <c r="V55" s="80"/>
      <c r="W55" s="80"/>
      <c r="X55" s="80"/>
      <c r="Y55" s="80"/>
      <c r="Z55" s="80"/>
    </row>
    <row r="56">
      <c r="A56" s="16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80"/>
      <c r="U56" s="80"/>
      <c r="V56" s="80"/>
      <c r="W56" s="80"/>
      <c r="X56" s="80"/>
      <c r="Y56" s="80"/>
      <c r="Z56" s="80"/>
    </row>
    <row r="57">
      <c r="A57" s="16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80"/>
      <c r="U57" s="80"/>
      <c r="V57" s="80"/>
      <c r="W57" s="80"/>
      <c r="X57" s="80"/>
      <c r="Y57" s="80"/>
      <c r="Z57" s="80"/>
    </row>
    <row r="58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  <row r="1001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</row>
    <row r="1002">
      <c r="A1002" s="80"/>
      <c r="B1002" s="80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</row>
    <row r="1003">
      <c r="A1003" s="80"/>
      <c r="B1003" s="80"/>
      <c r="C1003" s="80"/>
      <c r="D1003" s="80"/>
      <c r="E1003" s="80"/>
      <c r="F1003" s="80"/>
      <c r="G1003" s="80"/>
      <c r="H1003" s="80"/>
      <c r="I1003" s="80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</row>
    <row r="1004">
      <c r="A1004" s="80"/>
      <c r="B1004" s="80"/>
      <c r="C1004" s="80"/>
      <c r="D1004" s="80"/>
      <c r="E1004" s="80"/>
      <c r="F1004" s="80"/>
      <c r="G1004" s="80"/>
      <c r="H1004" s="80"/>
      <c r="I1004" s="80"/>
      <c r="J1004" s="80"/>
      <c r="K1004" s="80"/>
      <c r="L1004" s="80"/>
      <c r="M1004" s="80"/>
      <c r="N1004" s="80"/>
      <c r="O1004" s="80"/>
      <c r="P1004" s="80"/>
      <c r="Q1004" s="80"/>
      <c r="R1004" s="80"/>
      <c r="S1004" s="80"/>
      <c r="T1004" s="80"/>
      <c r="U1004" s="80"/>
      <c r="V1004" s="80"/>
      <c r="W1004" s="80"/>
      <c r="X1004" s="80"/>
      <c r="Y1004" s="80"/>
      <c r="Z1004" s="80"/>
    </row>
    <row r="1005">
      <c r="A1005" s="80"/>
      <c r="B1005" s="80"/>
      <c r="C1005" s="80"/>
      <c r="D1005" s="80"/>
      <c r="E1005" s="80"/>
      <c r="F1005" s="80"/>
      <c r="G1005" s="80"/>
      <c r="H1005" s="80"/>
      <c r="I1005" s="80"/>
      <c r="J1005" s="80"/>
      <c r="K1005" s="80"/>
      <c r="L1005" s="80"/>
      <c r="M1005" s="80"/>
      <c r="N1005" s="80"/>
      <c r="O1005" s="80"/>
      <c r="P1005" s="80"/>
      <c r="Q1005" s="80"/>
      <c r="R1005" s="80"/>
      <c r="S1005" s="80"/>
      <c r="T1005" s="80"/>
      <c r="U1005" s="80"/>
      <c r="V1005" s="80"/>
      <c r="W1005" s="80"/>
      <c r="X1005" s="80"/>
      <c r="Y1005" s="80"/>
      <c r="Z1005" s="80"/>
    </row>
    <row r="1006">
      <c r="A1006" s="80"/>
      <c r="B1006" s="80"/>
      <c r="C1006" s="80"/>
      <c r="D1006" s="80"/>
      <c r="E1006" s="80"/>
      <c r="F1006" s="80"/>
      <c r="G1006" s="80"/>
      <c r="H1006" s="80"/>
      <c r="I1006" s="80"/>
      <c r="J1006" s="80"/>
      <c r="K1006" s="80"/>
      <c r="L1006" s="80"/>
      <c r="M1006" s="80"/>
      <c r="N1006" s="80"/>
      <c r="O1006" s="80"/>
      <c r="P1006" s="80"/>
      <c r="Q1006" s="80"/>
      <c r="R1006" s="80"/>
      <c r="S1006" s="80"/>
      <c r="T1006" s="80"/>
      <c r="U1006" s="80"/>
      <c r="V1006" s="80"/>
      <c r="W1006" s="80"/>
      <c r="X1006" s="80"/>
      <c r="Y1006" s="80"/>
      <c r="Z1006" s="80"/>
    </row>
    <row r="1007">
      <c r="A1007" s="80"/>
      <c r="B1007" s="80"/>
      <c r="C1007" s="80"/>
      <c r="D1007" s="80"/>
      <c r="E1007" s="80"/>
      <c r="F1007" s="80"/>
      <c r="G1007" s="80"/>
      <c r="H1007" s="80"/>
      <c r="I1007" s="80"/>
      <c r="J1007" s="80"/>
      <c r="K1007" s="80"/>
      <c r="L1007" s="80"/>
      <c r="M1007" s="80"/>
      <c r="N1007" s="80"/>
      <c r="O1007" s="80"/>
      <c r="P1007" s="80"/>
      <c r="Q1007" s="80"/>
      <c r="R1007" s="80"/>
      <c r="S1007" s="80"/>
      <c r="T1007" s="80"/>
      <c r="U1007" s="80"/>
      <c r="V1007" s="80"/>
      <c r="W1007" s="80"/>
      <c r="X1007" s="80"/>
      <c r="Y1007" s="80"/>
      <c r="Z1007" s="80"/>
    </row>
    <row r="1008">
      <c r="A1008" s="80"/>
      <c r="B1008" s="80"/>
      <c r="C1008" s="80"/>
      <c r="D1008" s="80"/>
      <c r="E1008" s="80"/>
      <c r="F1008" s="80"/>
      <c r="G1008" s="80"/>
      <c r="H1008" s="80"/>
      <c r="I1008" s="80"/>
      <c r="J1008" s="80"/>
      <c r="K1008" s="80"/>
      <c r="L1008" s="80"/>
      <c r="M1008" s="80"/>
      <c r="N1008" s="80"/>
      <c r="O1008" s="80"/>
      <c r="P1008" s="80"/>
      <c r="Q1008" s="80"/>
      <c r="R1008" s="80"/>
      <c r="S1008" s="80"/>
      <c r="T1008" s="80"/>
      <c r="U1008" s="80"/>
      <c r="V1008" s="80"/>
      <c r="W1008" s="80"/>
      <c r="X1008" s="80"/>
      <c r="Y1008" s="80"/>
      <c r="Z1008" s="80"/>
    </row>
    <row r="1009">
      <c r="A1009" s="80"/>
      <c r="B1009" s="80"/>
      <c r="C1009" s="80"/>
      <c r="D1009" s="80"/>
      <c r="E1009" s="80"/>
      <c r="F1009" s="80"/>
      <c r="G1009" s="80"/>
      <c r="H1009" s="80"/>
      <c r="I1009" s="80"/>
      <c r="J1009" s="80"/>
      <c r="K1009" s="80"/>
      <c r="L1009" s="80"/>
      <c r="M1009" s="80"/>
      <c r="N1009" s="80"/>
      <c r="O1009" s="80"/>
      <c r="P1009" s="80"/>
      <c r="Q1009" s="80"/>
      <c r="R1009" s="80"/>
      <c r="S1009" s="80"/>
      <c r="T1009" s="80"/>
      <c r="U1009" s="80"/>
      <c r="V1009" s="80"/>
      <c r="W1009" s="80"/>
      <c r="X1009" s="80"/>
      <c r="Y1009" s="80"/>
      <c r="Z1009" s="80"/>
    </row>
    <row r="1010">
      <c r="A1010" s="80"/>
      <c r="B1010" s="80"/>
      <c r="C1010" s="80"/>
      <c r="D1010" s="80"/>
      <c r="E1010" s="80"/>
      <c r="F1010" s="80"/>
      <c r="G1010" s="80"/>
      <c r="H1010" s="80"/>
      <c r="I1010" s="80"/>
      <c r="J1010" s="80"/>
      <c r="K1010" s="80"/>
      <c r="L1010" s="80"/>
      <c r="M1010" s="80"/>
      <c r="N1010" s="80"/>
      <c r="O1010" s="80"/>
      <c r="P1010" s="80"/>
      <c r="Q1010" s="80"/>
      <c r="R1010" s="80"/>
      <c r="S1010" s="80"/>
      <c r="T1010" s="80"/>
      <c r="U1010" s="80"/>
      <c r="V1010" s="80"/>
      <c r="W1010" s="80"/>
      <c r="X1010" s="80"/>
      <c r="Y1010" s="80"/>
      <c r="Z1010" s="80"/>
    </row>
  </sheetData>
  <mergeCells count="1">
    <mergeCell ref="B1:S1"/>
  </mergeCells>
  <drawing r:id="rId1"/>
  <tableParts count="2">
    <tablePart r:id="rId4"/>
    <tablePart r:id="rId5"/>
  </tableParts>
</worksheet>
</file>